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egortarantsov/Downloads/"/>
    </mc:Choice>
  </mc:AlternateContent>
  <xr:revisionPtr revIDLastSave="0" documentId="13_ncr:1_{0A303222-D600-F145-8472-05BF4385820F}" xr6:coauthVersionLast="47" xr6:coauthVersionMax="47" xr10:uidLastSave="{00000000-0000-0000-0000-000000000000}"/>
  <bookViews>
    <workbookView xWindow="0" yWindow="760" windowWidth="30240" windowHeight="17540" activeTab="1" xr2:uid="{00000000-000D-0000-FFFF-FFFF00000000}"/>
  </bookViews>
  <sheets>
    <sheet name="Результаты опроса" sheetId="1" r:id="rId1"/>
    <sheet name="Анализ общей выборки (N=88)" sheetId="2" r:id="rId2"/>
    <sheet name="Стратегические выводы" sheetId="4" r:id="rId3"/>
    <sheet name="PSM  Общая выборка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I3" i="2" s="1"/>
  <c r="J3" i="2" s="1"/>
  <c r="H6" i="2"/>
  <c r="I6" i="2" s="1"/>
  <c r="J6" i="2" s="1"/>
  <c r="H5" i="2"/>
  <c r="I5" i="2" s="1"/>
  <c r="J5" i="2" s="1"/>
  <c r="H4" i="2"/>
  <c r="B22" i="4"/>
  <c r="B17" i="4"/>
  <c r="B16" i="4"/>
  <c r="B10" i="4"/>
  <c r="B11" i="4"/>
  <c r="B12" i="4"/>
  <c r="C68" i="2"/>
  <c r="C67" i="2"/>
  <c r="D2" i="3"/>
  <c r="E2" i="3"/>
  <c r="B2" i="3"/>
  <c r="C2" i="3"/>
  <c r="A3" i="3"/>
  <c r="B27" i="2"/>
  <c r="B28" i="2"/>
  <c r="B7" i="2"/>
  <c r="B13" i="2"/>
  <c r="B12" i="2"/>
  <c r="B11" i="2"/>
  <c r="B2" i="2"/>
  <c r="B6" i="2"/>
  <c r="B5" i="2"/>
  <c r="B4" i="2"/>
  <c r="B3" i="2"/>
  <c r="I4" i="2" l="1"/>
  <c r="H7" i="2"/>
  <c r="D3" i="3"/>
  <c r="E3" i="3"/>
  <c r="C3" i="3"/>
  <c r="A4" i="3"/>
  <c r="B3" i="3"/>
  <c r="B29" i="2"/>
  <c r="B14" i="2"/>
  <c r="J4" i="2" l="1"/>
  <c r="I7" i="2"/>
  <c r="J7" i="2" s="1"/>
  <c r="C4" i="3"/>
  <c r="E4" i="3"/>
  <c r="D4" i="3"/>
  <c r="B4" i="3"/>
  <c r="A5" i="3"/>
  <c r="C5" i="3" l="1"/>
  <c r="E5" i="3"/>
  <c r="D5" i="3"/>
  <c r="B5" i="3"/>
  <c r="A6" i="3"/>
  <c r="C6" i="3" l="1"/>
  <c r="E6" i="3"/>
  <c r="D6" i="3"/>
  <c r="B6" i="3"/>
  <c r="A8" i="3"/>
  <c r="A9" i="3" l="1"/>
  <c r="C8" i="3"/>
  <c r="E8" i="3"/>
  <c r="D8" i="3"/>
  <c r="B8" i="3"/>
  <c r="C65" i="2" l="1"/>
  <c r="C9" i="3"/>
  <c r="E9" i="3"/>
  <c r="D9" i="3"/>
  <c r="B9" i="3"/>
  <c r="A11" i="3"/>
  <c r="C11" i="3" l="1"/>
  <c r="E11" i="3"/>
  <c r="D11" i="3"/>
  <c r="B11" i="3"/>
  <c r="A13" i="3"/>
  <c r="C13" i="3" l="1"/>
  <c r="E13" i="3"/>
  <c r="D13" i="3"/>
  <c r="B13" i="3"/>
  <c r="A14" i="3"/>
  <c r="C14" i="3" l="1"/>
  <c r="E14" i="3"/>
  <c r="D14" i="3"/>
  <c r="B14" i="3"/>
  <c r="A15" i="3"/>
  <c r="C15" i="3" l="1"/>
  <c r="E15" i="3"/>
  <c r="D15" i="3"/>
  <c r="B15" i="3"/>
  <c r="A16" i="3"/>
  <c r="C16" i="3" l="1"/>
  <c r="E16" i="3"/>
  <c r="D16" i="3"/>
  <c r="B16" i="3"/>
  <c r="A17" i="3"/>
  <c r="E17" i="3" l="1"/>
  <c r="D17" i="3"/>
  <c r="B17" i="3"/>
  <c r="C17" i="3"/>
  <c r="A19" i="3"/>
  <c r="E19" i="3" l="1"/>
  <c r="D19" i="3"/>
  <c r="B19" i="3"/>
  <c r="C19" i="3"/>
  <c r="A20" i="3"/>
  <c r="C66" i="2" l="1"/>
  <c r="E20" i="3"/>
  <c r="D20" i="3"/>
  <c r="B20" i="3"/>
  <c r="C20" i="3"/>
  <c r="A21" i="3"/>
  <c r="E21" i="3" l="1"/>
  <c r="D21" i="3"/>
  <c r="B21" i="3"/>
  <c r="C21" i="3"/>
  <c r="A22" i="3"/>
  <c r="E22" i="3" l="1"/>
  <c r="D22" i="3"/>
  <c r="B22" i="3"/>
  <c r="C22" i="3"/>
  <c r="A23" i="3"/>
  <c r="A24" i="3" l="1"/>
  <c r="E23" i="3"/>
  <c r="D23" i="3"/>
  <c r="B23" i="3"/>
  <c r="C23" i="3"/>
  <c r="E24" i="3" l="1"/>
  <c r="D24" i="3"/>
  <c r="B24" i="3"/>
  <c r="C24" i="3"/>
</calcChain>
</file>

<file path=xl/sharedStrings.xml><?xml version="1.0" encoding="utf-8"?>
<sst xmlns="http://schemas.openxmlformats.org/spreadsheetml/2006/main" count="904" uniqueCount="289">
  <si>
    <t>ID</t>
  </si>
  <si>
    <t>Время создания</t>
  </si>
  <si>
    <t>Пожалуйста, укажите ваш возраст:</t>
  </si>
  <si>
    <t>Сталкивались ли вы (или ваши близкие) за последний год с одной из этих проблем? (Множественный выбор) / Кровоточивость десен при чистке.</t>
  </si>
  <si>
    <t>Сталкивались ли вы (или ваши близкие) за последний год с одной из этих проблем? (Множественный выбор) / Резкая боль от холодного/горячего/сладкого (чувствительность).</t>
  </si>
  <si>
    <t>Сталкивались ли вы (или ваши близкие) за последний год с одной из этих проблем? (Множественный выбор) / Воспаление или рыхлость десен.</t>
  </si>
  <si>
    <t>Сталкивались ли вы (или ваши близкие) за последний год с одной из этих проблем? (Множественный выбор) / Ни с чем из перечисленного (У меня идеальные зубы).</t>
  </si>
  <si>
    <t>Как вы обычно решаете такие проблемы?</t>
  </si>
  <si>
    <t>Представьте, что у вас сильно разболелась десна или зуб. Чьей рекомендации при выборе средства вы доверитесь на 100%?</t>
  </si>
  <si>
    <t>Представьте зубную пасту, в комплекте с которой идут таблетки-индикаторы (окрашивают налет, показывая, где вы плохо почистили). Насколько это было бы вам полезно? / Пожалуйста, оцените по шкале от 1 до .</t>
  </si>
  <si>
    <t>Где, по вашему мнению, должен продаваться такой профессиональный продукт?</t>
  </si>
  <si>
    <t>При какой цене вы побоитесь покупать эту пасту, решив, что это подделка? (Укажите число в рублях)</t>
  </si>
  <si>
    <t>Какая цена кажется вам отличной сделкой (выгодной покупкой за такие инновации)?</t>
  </si>
  <si>
    <t>При какой цене паста покажется вам дорогой, но вы все равно купите её ради гарантированного лечебного эффекта? (Укажите число в рублях)</t>
  </si>
  <si>
    <t>При какой цене вы точно откажетесь от покупки? (Укажите число в рублях)</t>
  </si>
  <si>
    <t>Если у вас лично нет проблем с деснами, купили бы вы такой набор (Паста + Индикаторы) в подарок родителям или бабушке/дедушке, зная, что это избавит их от боли?</t>
  </si>
  <si>
    <t>2323734998</t>
  </si>
  <si>
    <t>2026-03-02 18:33:09</t>
  </si>
  <si>
    <t>18 – 25 лет</t>
  </si>
  <si>
    <t>Ни с чем из перечисленного (У меня идеальные зубы).</t>
  </si>
  <si>
    <t>Иду к стоматологу.</t>
  </si>
  <si>
    <t>Совету моего стоматолога.</t>
  </si>
  <si>
    <t>Только в аптеках и клиниках.</t>
  </si>
  <si>
    <t>Выберу Oral-B (доплачу за инновацию и контроль)</t>
  </si>
  <si>
    <t>Да, определенно.</t>
  </si>
  <si>
    <t>2323738819</t>
  </si>
  <si>
    <t>2026-03-02 18:36:16</t>
  </si>
  <si>
    <t>26 – 35 лет</t>
  </si>
  <si>
    <t>Резкая боль от холодного/горячего/сладкого (чувствительность).</t>
  </si>
  <si>
    <t>Куплю то, что прямо скажет мой врач (даже если это 500 руб)</t>
  </si>
  <si>
    <t>2323779913</t>
  </si>
  <si>
    <t>2026-03-02 19:11:28</t>
  </si>
  <si>
    <t>36 – 45 лет</t>
  </si>
  <si>
    <t>Покупаю любую пасту с надписью "Травы / Защита" в супермаркете.</t>
  </si>
  <si>
    <t>Рекомендации фармацевта в аптеке.</t>
  </si>
  <si>
    <t>В любом супермаркете рядом с чипсами.</t>
  </si>
  <si>
    <t>2323903562</t>
  </si>
  <si>
    <t>2026-03-02 20:59:10</t>
  </si>
  <si>
    <t>Возможно.</t>
  </si>
  <si>
    <t>2323904813</t>
  </si>
  <si>
    <t>2026-03-02 21:00:19</t>
  </si>
  <si>
    <t>2323908103</t>
  </si>
  <si>
    <t>2026-03-02 21:03:20</t>
  </si>
  <si>
    <t>Выберу Lacalut (мне достаточно базового лечения).</t>
  </si>
  <si>
    <t>2323942651</t>
  </si>
  <si>
    <t>2026-03-02 21:36:44</t>
  </si>
  <si>
    <t>Покупаю лечебную пасту в аптеке (Lacalut, Sensodyne, Parodontax).</t>
  </si>
  <si>
    <t>2323947623</t>
  </si>
  <si>
    <t>2026-03-02 21:41:48</t>
  </si>
  <si>
    <t>46+ лет</t>
  </si>
  <si>
    <t>Кровоточивость десен при чистке.</t>
  </si>
  <si>
    <t>Ничего не делаю, жду, пока само пройдет.</t>
  </si>
  <si>
    <t>Нет.</t>
  </si>
  <si>
    <t>2324199355</t>
  </si>
  <si>
    <t>2026-03-03 07:41:17</t>
  </si>
  <si>
    <t>2324797300</t>
  </si>
  <si>
    <t>2026-03-03 14:42:35</t>
  </si>
  <si>
    <t>2325335258</t>
  </si>
  <si>
    <t>2026-03-03 21:47:05</t>
  </si>
  <si>
    <t>Воспаление или рыхлость десен.</t>
  </si>
  <si>
    <t>2325341543</t>
  </si>
  <si>
    <t>2026-03-03 21:53:40</t>
  </si>
  <si>
    <t>2325342826</t>
  </si>
  <si>
    <t>2026-03-03 21:55:04</t>
  </si>
  <si>
    <t>2325349874</t>
  </si>
  <si>
    <t>2026-03-03 22:02:53</t>
  </si>
  <si>
    <t>2325357976</t>
  </si>
  <si>
    <t>2026-03-03 22:12:37</t>
  </si>
  <si>
    <t>2325360318</t>
  </si>
  <si>
    <t>2026-03-03 22:15:32</t>
  </si>
  <si>
    <t>Отзывам на маркетплейсах.</t>
  </si>
  <si>
    <t>2325361352</t>
  </si>
  <si>
    <t>2026-03-03 22:16:54</t>
  </si>
  <si>
    <t>2325366490</t>
  </si>
  <si>
    <t>2026-03-03 22:23:15</t>
  </si>
  <si>
    <t>2325366559</t>
  </si>
  <si>
    <t>2026-03-03 22:23:21</t>
  </si>
  <si>
    <t>2325368218</t>
  </si>
  <si>
    <t>2026-03-03 22:25:32</t>
  </si>
  <si>
    <t>2325369239</t>
  </si>
  <si>
    <t>2026-03-03 22:26:54</t>
  </si>
  <si>
    <t>2325369830</t>
  </si>
  <si>
    <t>2026-03-03 22:27:40</t>
  </si>
  <si>
    <t>2325377840</t>
  </si>
  <si>
    <t>2026-03-03 22:37:19</t>
  </si>
  <si>
    <t>2325380262</t>
  </si>
  <si>
    <t>2026-03-03 22:40:31</t>
  </si>
  <si>
    <t>2325382787</t>
  </si>
  <si>
    <t>2026-03-03 22:43:54</t>
  </si>
  <si>
    <t>2325383682</t>
  </si>
  <si>
    <t>2026-03-03 22:45:09</t>
  </si>
  <si>
    <t>2325385647</t>
  </si>
  <si>
    <t>2026-03-03 22:47:52</t>
  </si>
  <si>
    <t>2325389021</t>
  </si>
  <si>
    <t>2026-03-03 22:52:38</t>
  </si>
  <si>
    <t>2325389153</t>
  </si>
  <si>
    <t>2026-03-03 22:52:49</t>
  </si>
  <si>
    <t>2325391207</t>
  </si>
  <si>
    <t>2026-03-03 22:55:47</t>
  </si>
  <si>
    <t>2325392535</t>
  </si>
  <si>
    <t>2026-03-03 22:57:50</t>
  </si>
  <si>
    <t>2325393066</t>
  </si>
  <si>
    <t>2026-03-03 22:58:34</t>
  </si>
  <si>
    <t>2325406335</t>
  </si>
  <si>
    <t>2026-03-03 23:19:43</t>
  </si>
  <si>
    <t>2325410442</t>
  </si>
  <si>
    <t>2026-03-03 23:26:51</t>
  </si>
  <si>
    <t>2325418499</t>
  </si>
  <si>
    <t>2026-03-03 23:42:16</t>
  </si>
  <si>
    <t>2325427724</t>
  </si>
  <si>
    <t>2026-03-04 00:02:31</t>
  </si>
  <si>
    <t>2325430593</t>
  </si>
  <si>
    <t>2026-03-04 00:09:18</t>
  </si>
  <si>
    <t>Рекламе по ТВ / в Интернете.</t>
  </si>
  <si>
    <t>2325434676</t>
  </si>
  <si>
    <t>2026-03-04 00:21:04</t>
  </si>
  <si>
    <t>2325435713</t>
  </si>
  <si>
    <t>2026-03-04 00:23:53</t>
  </si>
  <si>
    <t>2325436228</t>
  </si>
  <si>
    <t>2026-03-04 00:25:13</t>
  </si>
  <si>
    <t>2325436246</t>
  </si>
  <si>
    <t>2026-03-04 00:25:16</t>
  </si>
  <si>
    <t>2325436351</t>
  </si>
  <si>
    <t>2026-03-04 00:25:32</t>
  </si>
  <si>
    <t>2325436364</t>
  </si>
  <si>
    <t>2026-03-04 00:25:35</t>
  </si>
  <si>
    <t>2325436382</t>
  </si>
  <si>
    <t>2026-03-04 00:25:38</t>
  </si>
  <si>
    <t>2325436396</t>
  </si>
  <si>
    <t>2026-03-04 00:25:41</t>
  </si>
  <si>
    <t>2325436419</t>
  </si>
  <si>
    <t>2026-03-04 00:25:46</t>
  </si>
  <si>
    <t>2325436546</t>
  </si>
  <si>
    <t>2026-03-04 00:26:05</t>
  </si>
  <si>
    <t>2325436865</t>
  </si>
  <si>
    <t>2026-03-04 00:26:55</t>
  </si>
  <si>
    <t>2325437800</t>
  </si>
  <si>
    <t>2026-03-04 00:29:40</t>
  </si>
  <si>
    <t>2325437838</t>
  </si>
  <si>
    <t>2026-03-04 00:29:46</t>
  </si>
  <si>
    <t>2325437858</t>
  </si>
  <si>
    <t>2026-03-04 00:29:49</t>
  </si>
  <si>
    <t>2325437900</t>
  </si>
  <si>
    <t>2026-03-04 00:29:55</t>
  </si>
  <si>
    <t>2325437954</t>
  </si>
  <si>
    <t>2026-03-04 00:30:03</t>
  </si>
  <si>
    <t>2325437968</t>
  </si>
  <si>
    <t>2026-03-04 00:30:06</t>
  </si>
  <si>
    <t>2325437988</t>
  </si>
  <si>
    <t>2026-03-04 00:30:09</t>
  </si>
  <si>
    <t>2325438296</t>
  </si>
  <si>
    <t>2026-03-04 00:31:01</t>
  </si>
  <si>
    <t>2325438563</t>
  </si>
  <si>
    <t>2026-03-04 00:31:51</t>
  </si>
  <si>
    <t>2325439598</t>
  </si>
  <si>
    <t>2026-03-04 00:35:03</t>
  </si>
  <si>
    <t>2325439639</t>
  </si>
  <si>
    <t>2026-03-04 00:35:12</t>
  </si>
  <si>
    <t>2325439648</t>
  </si>
  <si>
    <t>2026-03-04 00:35:13</t>
  </si>
  <si>
    <t>2325439655</t>
  </si>
  <si>
    <t>2026-03-04 00:35:15</t>
  </si>
  <si>
    <t>2325439664</t>
  </si>
  <si>
    <t>2026-03-04 00:35:16</t>
  </si>
  <si>
    <t>2325439673</t>
  </si>
  <si>
    <t>2026-03-04 00:35:17</t>
  </si>
  <si>
    <t>2325535508</t>
  </si>
  <si>
    <t>2026-03-04 06:36:18</t>
  </si>
  <si>
    <t>2325594548</t>
  </si>
  <si>
    <t>2026-03-04 08:01:58</t>
  </si>
  <si>
    <t>2325639125</t>
  </si>
  <si>
    <t>2026-03-04 08:43:18</t>
  </si>
  <si>
    <t>2325732635</t>
  </si>
  <si>
    <t>2026-03-04 09:51:53</t>
  </si>
  <si>
    <t>2325755395</t>
  </si>
  <si>
    <t>2026-03-04 10:06:54</t>
  </si>
  <si>
    <t>2325961944</t>
  </si>
  <si>
    <t>2026-03-04 12:26:58</t>
  </si>
  <si>
    <t>2326031682</t>
  </si>
  <si>
    <t>2026-03-04 13:13:04</t>
  </si>
  <si>
    <t>2326163921</t>
  </si>
  <si>
    <t>2026-03-04 14:37:46</t>
  </si>
  <si>
    <t>2326539450</t>
  </si>
  <si>
    <t>2026-03-04 19:01:59</t>
  </si>
  <si>
    <t>2326540958</t>
  </si>
  <si>
    <t>2026-03-04 19:03:17</t>
  </si>
  <si>
    <t>2326544623</t>
  </si>
  <si>
    <t>2026-03-04 19:06:28</t>
  </si>
  <si>
    <t>2326656754</t>
  </si>
  <si>
    <t>2026-03-04 20:43:34</t>
  </si>
  <si>
    <t>2327371856</t>
  </si>
  <si>
    <t>2026-03-05 12:23:53</t>
  </si>
  <si>
    <t>2327372455</t>
  </si>
  <si>
    <t>2026-03-05 12:24:18</t>
  </si>
  <si>
    <t>2327372843</t>
  </si>
  <si>
    <t>2026-03-05 12:24:34</t>
  </si>
  <si>
    <t>2327470160</t>
  </si>
  <si>
    <t>2026-03-05 13:26:41</t>
  </si>
  <si>
    <t>2327483582</t>
  </si>
  <si>
    <t>2026-03-05 13:35:33</t>
  </si>
  <si>
    <t>2327489321</t>
  </si>
  <si>
    <t>2026-03-05 13:39:05</t>
  </si>
  <si>
    <t>2327493174</t>
  </si>
  <si>
    <t>2026-03-05 13:41:31</t>
  </si>
  <si>
    <t>2327676535</t>
  </si>
  <si>
    <t>2026-03-05 15:40:00</t>
  </si>
  <si>
    <t>2327760096</t>
  </si>
  <si>
    <t>2026-03-05 16:37:45</t>
  </si>
  <si>
    <t>2327767102</t>
  </si>
  <si>
    <t>2026-03-05 16:42:24</t>
  </si>
  <si>
    <t>2327821001</t>
  </si>
  <si>
    <t>2026-03-05 17:21:44</t>
  </si>
  <si>
    <t>2327994153</t>
  </si>
  <si>
    <t>2026-03-05 19:52:30</t>
  </si>
  <si>
    <t>2328017241</t>
  </si>
  <si>
    <t>2026-03-05 20:15:22</t>
  </si>
  <si>
    <t>Представьте, что вы пришли в аптеку за лечебной пастой. На полке стоят два лидера:
Lacalut Aktiv (400 руб.) — базовая лечебная паста.
Oral-B Pro-Clinic Total Restore (490 руб.) — паста с премиальным составом, в комплекте с которой идут таблетки-индикаторы налета.
Какой вариант вы купите?</t>
  </si>
  <si>
    <t>N=88</t>
  </si>
  <si>
    <t>Охват проблемы (проблемы полости рта)</t>
  </si>
  <si>
    <t>Оценили инновацию с таблетками-индикаторами на 6+</t>
  </si>
  <si>
    <t>Средняя оценка инновации с таблетками-индикаторами</t>
  </si>
  <si>
    <t>Выбор зависит от рекомендации врача</t>
  </si>
  <si>
    <t>кровоточивость</t>
  </si>
  <si>
    <t>гиперчувствительность</t>
  </si>
  <si>
    <t>воспаления</t>
  </si>
  <si>
    <t>Отсутствие проблем</t>
  </si>
  <si>
    <t>Индекс доверия(Channel Trust)</t>
  </si>
  <si>
    <t>Совет стоматолога</t>
  </si>
  <si>
    <t>Отзывы на маркетплейсах(E-com)</t>
  </si>
  <si>
    <t>Фармацевты + ТВ</t>
  </si>
  <si>
    <t>Основной ресурс влияния — врачебное сообщество и социальное доказательство (E-com отзывы), а не классическая ТВ реклама</t>
  </si>
  <si>
    <t>Шкала цен</t>
  </si>
  <si>
    <t>L: Слишком дешево</t>
  </si>
  <si>
    <r>
      <t>PMC</t>
    </r>
    <r>
      <rPr>
        <sz val="11"/>
        <color rgb="FF1F1F1F"/>
        <rFont val="Arial"/>
        <family val="2"/>
      </rPr>
      <t xml:space="preserve"> (Нижний предел)</t>
    </r>
  </si>
  <si>
    <r>
      <t>Слишком дешево</t>
    </r>
    <r>
      <rPr>
        <sz val="11"/>
        <color rgb="FF1F1F1F"/>
        <rFont val="Arial"/>
        <family val="2"/>
      </rPr>
      <t xml:space="preserve"> + </t>
    </r>
    <r>
      <rPr>
        <b/>
        <sz val="11"/>
        <color rgb="FF1F1F1F"/>
        <rFont val="Arial"/>
        <family val="2"/>
      </rPr>
      <t>Дорого</t>
    </r>
  </si>
  <si>
    <r>
      <t>PME</t>
    </r>
    <r>
      <rPr>
        <sz val="11"/>
        <color rgb="FF1F1F1F"/>
        <rFont val="Arial"/>
        <family val="2"/>
      </rPr>
      <t xml:space="preserve"> (Верхний предел)</t>
    </r>
  </si>
  <si>
    <r>
      <t>Слишком дорого</t>
    </r>
    <r>
      <rPr>
        <sz val="11"/>
        <color rgb="FF1F1F1F"/>
        <rFont val="Arial"/>
        <family val="2"/>
      </rPr>
      <t xml:space="preserve"> + </t>
    </r>
    <r>
      <rPr>
        <b/>
        <sz val="11"/>
        <color rgb="FF1F1F1F"/>
        <rFont val="Arial"/>
        <family val="2"/>
      </rPr>
      <t>Выгодно</t>
    </r>
  </si>
  <si>
    <r>
      <t>OPP</t>
    </r>
    <r>
      <rPr>
        <sz val="11"/>
        <color rgb="FF1F1F1F"/>
        <rFont val="Arial"/>
        <family val="2"/>
      </rPr>
      <t xml:space="preserve"> (Оптимальная цена)</t>
    </r>
  </si>
  <si>
    <r>
      <t>Слишком дешево</t>
    </r>
    <r>
      <rPr>
        <sz val="11"/>
        <color rgb="FF1F1F1F"/>
        <rFont val="Arial"/>
        <family val="2"/>
      </rPr>
      <t xml:space="preserve"> + </t>
    </r>
    <r>
      <rPr>
        <b/>
        <sz val="11"/>
        <color rgb="FF1F1F1F"/>
        <rFont val="Arial"/>
        <family val="2"/>
      </rPr>
      <t>Слишком дорого</t>
    </r>
  </si>
  <si>
    <r>
      <t>IPP</t>
    </r>
    <r>
      <rPr>
        <sz val="11"/>
        <color rgb="FF1F1F1F"/>
        <rFont val="Arial"/>
        <family val="2"/>
      </rPr>
      <t xml:space="preserve"> (Безразличная цена)</t>
    </r>
  </si>
  <si>
    <r>
      <t>Выгодно</t>
    </r>
    <r>
      <rPr>
        <sz val="11"/>
        <color rgb="FF1F1F1F"/>
        <rFont val="Arial"/>
        <family val="2"/>
      </rPr>
      <t xml:space="preserve"> + </t>
    </r>
    <r>
      <rPr>
        <b/>
        <sz val="11"/>
        <color rgb="FF1F1F1F"/>
        <rFont val="Arial"/>
        <family val="2"/>
      </rPr>
      <t>Дорого</t>
    </r>
  </si>
  <si>
    <t>Выше этой цены паста становится слишком дорогой даже для лояльных клиентов.</t>
  </si>
  <si>
    <t xml:space="preserve"> Здесь страх переплаты равен страху подделки. Идеально для входа на рынок.</t>
  </si>
  <si>
    <t>Это цена, которую рынок считает «обычной». Мы намеренно ставим 490 ₽, чтобы быть чуть выше «среднего».</t>
  </si>
  <si>
    <t>Сегмент</t>
  </si>
  <si>
    <t>Значение</t>
  </si>
  <si>
    <t>Вывод для стратегии</t>
  </si>
  <si>
    <t>Ядро аудитории</t>
  </si>
  <si>
    <t>Потенциал подарков</t>
  </si>
  <si>
    <t>Барьер "Ждунов"</t>
  </si>
  <si>
    <t>Запуск "Семейного набора" (Family Pack) для заботы о родителях.</t>
  </si>
  <si>
    <t>Игнорируем этот сегмент на старте. Высокий CAC, низкий LTV.</t>
  </si>
  <si>
    <t>Ниже этой цены пасту покупать не будут, так как не поверят в её лечебный эффект.</t>
  </si>
  <si>
    <t>Оценка инновации (18-25 лет)</t>
  </si>
  <si>
    <t>Оценка инновации (26-35 лет)</t>
  </si>
  <si>
    <t>Оценка инновации (46+ лет)</t>
  </si>
  <si>
    <t>Таблетки-индикаторы</t>
  </si>
  <si>
    <t>Старшее поколение максимально заинтересовано в спасении зубов</t>
  </si>
  <si>
    <t>Молодежь еще не чувствует ценности продукта</t>
  </si>
  <si>
    <t>Аудитория 26+ (8.1 балла) — наше золотое ядро. Они уже столкнулись с проблемами</t>
  </si>
  <si>
    <t>Готовы купить в подарок</t>
  </si>
  <si>
    <t>Точно купят (Hard core)</t>
  </si>
  <si>
    <r>
      <rPr>
        <b/>
        <sz val="11"/>
        <color rgb="FFC300AD"/>
        <rFont val="Arial"/>
        <family val="2"/>
      </rPr>
      <t>42%</t>
    </r>
    <r>
      <rPr>
        <sz val="11"/>
        <color rgb="FF1F1F1F"/>
        <rFont val="Arial"/>
        <family val="2"/>
      </rPr>
      <t xml:space="preserve"> гарантированных продаж через канал подарков</t>
    </r>
  </si>
  <si>
    <r>
      <rPr>
        <b/>
        <sz val="11"/>
        <color rgb="FFC300AD"/>
        <rFont val="Arial"/>
        <family val="2"/>
      </rPr>
      <t>99%</t>
    </r>
    <r>
      <rPr>
        <sz val="11"/>
        <color rgb="FF1F1F1F"/>
        <rFont val="Arial"/>
        <family val="2"/>
      </rPr>
      <t xml:space="preserve"> аудитории готовы купить набор в подарок. Это обосновывает запуск Family Pack к праздникам</t>
    </r>
  </si>
  <si>
    <t>% Молодежи среди «Ждунов»</t>
  </si>
  <si>
    <r>
      <t>«</t>
    </r>
    <r>
      <rPr>
        <b/>
        <sz val="11"/>
        <color rgb="FF1F1F1F"/>
        <rFont val="Arial"/>
        <family val="2"/>
      </rPr>
      <t>64%</t>
    </r>
    <r>
      <rPr>
        <sz val="11"/>
        <color rgb="FF1F1F1F"/>
        <rFont val="Arial"/>
        <family val="2"/>
      </rPr>
      <t xml:space="preserve"> тех, кто игнорирует проблемы — это студенты. Мы исключаем их из таргетинга, чтобы снизить стоимость привлечения клиента (CAC)».</t>
    </r>
  </si>
  <si>
    <t>Ждуны</t>
  </si>
  <si>
    <r>
      <t>Таргетинг в Digital только на</t>
    </r>
    <r>
      <rPr>
        <sz val="11"/>
        <color rgb="FFC300AD"/>
        <rFont val="Calibri (Основной текст)"/>
        <charset val="204"/>
      </rPr>
      <t xml:space="preserve"> 30+</t>
    </r>
    <r>
      <rPr>
        <sz val="11"/>
        <color theme="1"/>
        <rFont val="Calibri"/>
        <family val="2"/>
        <scheme val="minor"/>
      </rPr>
      <t>, исключаем студентов.</t>
    </r>
  </si>
  <si>
    <t>30+(Оценка 8.1/10)</t>
  </si>
  <si>
    <t>99% респондентов готовы купить пасту в подарок родителям</t>
  </si>
  <si>
    <t>64% молодежи игнорируют проблемы ротовой полости</t>
  </si>
  <si>
    <r>
      <t>M</t>
    </r>
    <r>
      <rPr>
        <sz val="11"/>
        <color theme="1"/>
        <rFont val="Arial"/>
        <family val="2"/>
      </rPr>
      <t>: Выгодно</t>
    </r>
  </si>
  <si>
    <r>
      <t>N</t>
    </r>
    <r>
      <rPr>
        <sz val="11"/>
        <color theme="1"/>
        <rFont val="Arial"/>
        <family val="2"/>
      </rPr>
      <t>: Дорого</t>
    </r>
  </si>
  <si>
    <r>
      <t>O</t>
    </r>
    <r>
      <rPr>
        <sz val="11"/>
        <color theme="1"/>
        <rFont val="Arial"/>
        <family val="2"/>
      </rPr>
      <t>: Слишком дорого</t>
    </r>
  </si>
  <si>
    <r>
      <t xml:space="preserve">Каждый второй респондент сталкивается с проблемами ротовой полости.среди них </t>
    </r>
    <r>
      <rPr>
        <sz val="11"/>
        <color theme="5" tint="-0.249977111117893"/>
        <rFont val="Arial"/>
        <family val="2"/>
      </rPr>
      <t>24%</t>
    </r>
    <r>
      <rPr>
        <sz val="11"/>
        <color theme="3" tint="0.39997558519241921"/>
        <rFont val="Arial"/>
        <family val="2"/>
      </rPr>
      <t xml:space="preserve"> - </t>
    </r>
    <r>
      <rPr>
        <sz val="11"/>
        <color theme="5" tint="-0.249977111117893"/>
        <rFont val="Arial"/>
        <family val="2"/>
      </rPr>
      <t>кровоточивость</t>
    </r>
  </si>
  <si>
    <r>
      <t xml:space="preserve">Oral-b VS Lacalut(490руб против 400руб) - </t>
    </r>
    <r>
      <rPr>
        <b/>
        <sz val="11"/>
        <color theme="6" tint="-0.249977111117893"/>
        <rFont val="Arial"/>
        <family val="2"/>
      </rPr>
      <t>Oral-b</t>
    </r>
  </si>
  <si>
    <r>
      <t xml:space="preserve">почти </t>
    </r>
    <r>
      <rPr>
        <sz val="11"/>
        <color rgb="FFC300AD"/>
        <rFont val="Arial"/>
        <family val="2"/>
      </rPr>
      <t>в 5 раз больше</t>
    </r>
    <r>
      <rPr>
        <sz val="11"/>
        <color theme="3" tint="0.39997558519241921"/>
        <rFont val="Arial"/>
        <family val="2"/>
      </rPr>
      <t xml:space="preserve"> людей выберут Oral-B против Lacalut до подключения медпредов</t>
    </r>
  </si>
  <si>
    <r>
      <t xml:space="preserve">Oral-b VS Lacalut(490руб против 400руб) - </t>
    </r>
    <r>
      <rPr>
        <b/>
        <sz val="11"/>
        <color rgb="FFFF0000"/>
        <rFont val="Arial"/>
        <family val="2"/>
      </rPr>
      <t>Lacalut</t>
    </r>
  </si>
  <si>
    <r>
      <t>при подключении медпредов ~</t>
    </r>
    <r>
      <rPr>
        <sz val="11"/>
        <color rgb="FFC300AD"/>
        <rFont val="Arial"/>
        <family val="2"/>
      </rPr>
      <t>93%</t>
    </r>
    <r>
      <rPr>
        <sz val="11"/>
        <color theme="4"/>
        <rFont val="Arial"/>
        <family val="2"/>
      </rPr>
      <t xml:space="preserve"> выберут </t>
    </r>
    <r>
      <rPr>
        <sz val="11"/>
        <color rgb="FFC300AD"/>
        <rFont val="Arial"/>
        <family val="2"/>
      </rPr>
      <t>Oral-B</t>
    </r>
  </si>
  <si>
    <r>
      <t>- основной конкурент</t>
    </r>
    <r>
      <rPr>
        <sz val="11"/>
        <color theme="2" tint="-0.749992370372631"/>
        <rFont val="Arial"/>
        <family val="2"/>
      </rPr>
      <t xml:space="preserve"> Sensodyne</t>
    </r>
  </si>
  <si>
    <r>
      <t xml:space="preserve">Хотя оптимальная цена (OPP) по опросу составляет около </t>
    </r>
    <r>
      <rPr>
        <b/>
        <sz val="11"/>
        <color theme="1"/>
        <rFont val="Arial"/>
        <family val="2"/>
      </rPr>
      <t>483 рублей</t>
    </r>
    <r>
      <rPr>
        <sz val="11"/>
        <color theme="1"/>
        <rFont val="Arial"/>
        <family val="2"/>
      </rPr>
      <t xml:space="preserve">, мы выбрали стратегическую цену </t>
    </r>
    <r>
      <rPr>
        <b/>
        <sz val="11"/>
        <color theme="1"/>
        <rFont val="Arial"/>
        <family val="2"/>
      </rPr>
      <t>490 рублей</t>
    </r>
    <r>
      <rPr>
        <sz val="11"/>
        <color theme="1"/>
        <rFont val="Arial"/>
        <family val="2"/>
      </rPr>
      <t>. Это позволяет нам оставаться в зоне комфорта потребителя, при этом позиционируясь выше точки безразличия (IPP = 443 руб.), что подчеркивает инновационность продукта с индикаторными таблетками</t>
    </r>
  </si>
  <si>
    <t>Возраст</t>
  </si>
  <si>
    <t>Опрошено(человек)</t>
  </si>
  <si>
    <t>Есть проблемы</t>
  </si>
  <si>
    <t>Итого(26+ лет)</t>
  </si>
  <si>
    <t>18-25 лет</t>
  </si>
  <si>
    <t>%</t>
  </si>
  <si>
    <t>Метод Ван-Вестендорпа анализа цены</t>
  </si>
  <si>
    <t>График в PNG: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</si>
</sst>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₽&quot;;[Red]\-#,##0\ &quot;₽&quot;"/>
    <numFmt numFmtId="164" formatCode="0.0"/>
  </numFmts>
  <fonts count="2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C300AD"/>
      <name val="Calibri (Основной текст)"/>
      <charset val="204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1"/>
      <color rgb="FFC300AD"/>
      <name val="Arial"/>
      <family val="2"/>
    </font>
    <font>
      <sz val="11"/>
      <color theme="1" tint="0.34998626667073579"/>
      <name val="Calibri"/>
      <family val="2"/>
      <scheme val="minor"/>
    </font>
    <font>
      <sz val="11"/>
      <color theme="1"/>
      <name val="Arial"/>
      <family val="2"/>
    </font>
    <font>
      <sz val="11"/>
      <color rgb="FFC300AD"/>
      <name val="Arial"/>
      <family val="2"/>
    </font>
    <font>
      <b/>
      <sz val="11"/>
      <color theme="1"/>
      <name val="Arial"/>
      <family val="2"/>
    </font>
    <font>
      <b/>
      <sz val="20"/>
      <color theme="1"/>
      <name val="Arial"/>
      <family val="2"/>
    </font>
    <font>
      <sz val="11"/>
      <color theme="3" tint="0.39997558519241921"/>
      <name val="Arial"/>
      <family val="2"/>
    </font>
    <font>
      <sz val="11"/>
      <color theme="5" tint="-0.249977111117893"/>
      <name val="Arial"/>
      <family val="2"/>
    </font>
    <font>
      <b/>
      <sz val="11"/>
      <color theme="6" tint="-0.249977111117893"/>
      <name val="Arial"/>
      <family val="2"/>
    </font>
    <font>
      <b/>
      <sz val="11"/>
      <color rgb="FFFF0000"/>
      <name val="Arial"/>
      <family val="2"/>
    </font>
    <font>
      <sz val="11"/>
      <color theme="4"/>
      <name val="Arial"/>
      <family val="2"/>
    </font>
    <font>
      <sz val="11"/>
      <color theme="2" tint="-0.749992370372631"/>
      <name val="Arial"/>
      <family val="2"/>
    </font>
    <font>
      <sz val="16"/>
      <color theme="1"/>
      <name val="Arial"/>
      <family val="2"/>
    </font>
    <font>
      <b/>
      <i/>
      <sz val="11"/>
      <color theme="1"/>
      <name val="Arial"/>
      <family val="2"/>
    </font>
    <font>
      <sz val="10"/>
      <color theme="1"/>
      <name val="Arial Unicode MS"/>
      <family val="2"/>
    </font>
    <font>
      <b/>
      <sz val="11"/>
      <color theme="1"/>
      <name val="Arial"/>
      <family val="2"/>
      <charset val="204"/>
    </font>
    <font>
      <b/>
      <sz val="10"/>
      <color theme="1"/>
      <name val="Arial Unicode MS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5" fillId="0" borderId="0" xfId="0" applyFont="1"/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0" applyNumberForma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7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9" fontId="6" fillId="0" borderId="2" xfId="1" applyFont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9" fillId="0" borderId="0" xfId="0" applyFont="1"/>
    <xf numFmtId="0" fontId="9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9" fontId="9" fillId="0" borderId="2" xfId="1" applyFont="1" applyBorder="1" applyAlignment="1">
      <alignment horizontal="center" vertical="center"/>
    </xf>
    <xf numFmtId="9" fontId="9" fillId="0" borderId="2" xfId="0" applyNumberFormat="1" applyFont="1" applyBorder="1" applyAlignment="1">
      <alignment horizontal="center" vertical="center"/>
    </xf>
    <xf numFmtId="0" fontId="11" fillId="0" borderId="0" xfId="0" applyFont="1" applyAlignment="1">
      <alignment wrapText="1"/>
    </xf>
    <xf numFmtId="9" fontId="9" fillId="0" borderId="0" xfId="1" quotePrefix="1" applyFont="1"/>
    <xf numFmtId="9" fontId="9" fillId="0" borderId="0" xfId="1" applyFont="1"/>
    <xf numFmtId="0" fontId="13" fillId="0" borderId="0" xfId="0" applyFont="1"/>
    <xf numFmtId="0" fontId="11" fillId="0" borderId="2" xfId="0" applyFont="1" applyBorder="1" applyAlignment="1">
      <alignment wrapText="1"/>
    </xf>
    <xf numFmtId="9" fontId="9" fillId="0" borderId="2" xfId="1" applyFont="1" applyBorder="1"/>
    <xf numFmtId="9" fontId="9" fillId="0" borderId="2" xfId="0" applyNumberFormat="1" applyFont="1" applyBorder="1"/>
    <xf numFmtId="0" fontId="9" fillId="0" borderId="1" xfId="0" applyFont="1" applyBorder="1"/>
    <xf numFmtId="0" fontId="20" fillId="0" borderId="0" xfId="0" applyFont="1" applyAlignment="1">
      <alignment wrapText="1"/>
    </xf>
    <xf numFmtId="0" fontId="9" fillId="0" borderId="0" xfId="0" applyFont="1" applyAlignment="1">
      <alignment wrapText="1"/>
    </xf>
    <xf numFmtId="6" fontId="9" fillId="0" borderId="2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0" fillId="0" borderId="2" xfId="1" applyNumberFormat="1" applyFont="1" applyBorder="1" applyAlignment="1">
      <alignment horizontal="center"/>
    </xf>
    <xf numFmtId="9" fontId="9" fillId="0" borderId="2" xfId="1" applyFont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22" fillId="7" borderId="2" xfId="0" applyFont="1" applyFill="1" applyBorder="1" applyAlignment="1">
      <alignment horizontal="center"/>
    </xf>
    <xf numFmtId="0" fontId="23" fillId="7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11" fillId="6" borderId="0" xfId="0" applyFont="1" applyFill="1"/>
    <xf numFmtId="0" fontId="12" fillId="0" borderId="1" xfId="0" applyFont="1" applyBorder="1"/>
    <xf numFmtId="0" fontId="17" fillId="0" borderId="0" xfId="0" applyFont="1"/>
    <xf numFmtId="0" fontId="9" fillId="0" borderId="0" xfId="0" quotePrefix="1" applyFont="1"/>
    <xf numFmtId="0" fontId="13" fillId="0" borderId="0" xfId="0" applyFont="1" applyAlignment="1">
      <alignment wrapText="1"/>
    </xf>
    <xf numFmtId="0" fontId="19" fillId="3" borderId="0" xfId="0" applyFont="1" applyFill="1"/>
    <xf numFmtId="0" fontId="11" fillId="0" borderId="0" xfId="0" applyFont="1"/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0" xfId="0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colors>
    <mruColors>
      <color rgb="FFC300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Охват</a:t>
            </a:r>
            <a:r>
              <a:rPr lang="ru-RU" baseline="0"/>
              <a:t> проблемы</a:t>
            </a:r>
          </a:p>
          <a:p>
            <a:pPr>
              <a:defRPr/>
            </a:pPr>
            <a:endParaRPr lang="ru-RU"/>
          </a:p>
        </c:rich>
      </c:tx>
      <c:layout>
        <c:manualLayout>
          <c:xMode val="edge"/>
          <c:yMode val="edge"/>
          <c:x val="0.25950802202356277"/>
          <c:y val="6.75675675675675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F95-1E4E-9A56-38EA598D84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F95-1E4E-9A56-38EA598D84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F95-1E4E-9A56-38EA598D84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F95-1E4E-9A56-38EA598D842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'Анализ общей выборки (N=88)'!$A$11:$A$14</c:f>
              <c:strCache>
                <c:ptCount val="4"/>
                <c:pt idx="0">
                  <c:v>кровоточивость</c:v>
                </c:pt>
                <c:pt idx="1">
                  <c:v>гиперчувствительность</c:v>
                </c:pt>
                <c:pt idx="2">
                  <c:v>воспаления</c:v>
                </c:pt>
                <c:pt idx="3">
                  <c:v>Отсутствие проблем</c:v>
                </c:pt>
              </c:strCache>
            </c:strRef>
          </c:cat>
          <c:val>
            <c:numRef>
              <c:f>'Анализ общей выборки (N=88)'!$B$11:$B$14</c:f>
              <c:numCache>
                <c:formatCode>0%</c:formatCode>
                <c:ptCount val="4"/>
                <c:pt idx="0">
                  <c:v>0.23863636363636365</c:v>
                </c:pt>
                <c:pt idx="1">
                  <c:v>0.44318181818181818</c:v>
                </c:pt>
                <c:pt idx="2">
                  <c:v>7.9545454545454544E-2</c:v>
                </c:pt>
                <c:pt idx="3">
                  <c:v>0.23863636363636365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4-2043-99B3-BD64F479779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 Trust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FB-F74E-8EB2-04D76EF708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755-BC4E-9522-D763AE1029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FFB-F74E-8EB2-04D76EF708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FFB-F74E-8EB2-04D76EF7085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'Анализ общей выборки (N=88)'!$A$26:$A$29</c:f>
              <c:strCache>
                <c:ptCount val="4"/>
                <c:pt idx="0">
                  <c:v>Индекс доверия(Channel Trust)</c:v>
                </c:pt>
                <c:pt idx="1">
                  <c:v>Совет стоматолога</c:v>
                </c:pt>
                <c:pt idx="2">
                  <c:v>Отзывы на маркетплейсах(E-com)</c:v>
                </c:pt>
                <c:pt idx="3">
                  <c:v>Фармацевты + ТВ</c:v>
                </c:pt>
              </c:strCache>
            </c:strRef>
          </c:cat>
          <c:val>
            <c:numRef>
              <c:f>'Анализ общей выборки (N=88)'!$B$26:$B$29</c:f>
              <c:numCache>
                <c:formatCode>0%</c:formatCode>
                <c:ptCount val="4"/>
                <c:pt idx="1">
                  <c:v>0.625</c:v>
                </c:pt>
                <c:pt idx="2">
                  <c:v>0.31818181818181818</c:v>
                </c:pt>
                <c:pt idx="3">
                  <c:v>5.6818181818181823E-2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55-BC4E-9522-D763AE1029D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FFB-F74E-8EB2-04D76EF708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FFB-F74E-8EB2-04D76EF708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FFB-F74E-8EB2-04D76EF708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FFB-F74E-8EB2-04D76EF7085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'Анализ общей выборки (N=88)'!$A$26:$A$29</c:f>
              <c:strCache>
                <c:ptCount val="4"/>
                <c:pt idx="0">
                  <c:v>Индекс доверия(Channel Trust)</c:v>
                </c:pt>
                <c:pt idx="1">
                  <c:v>Совет стоматолога</c:v>
                </c:pt>
                <c:pt idx="2">
                  <c:v>Отзывы на маркетплейсах(E-com)</c:v>
                </c:pt>
                <c:pt idx="3">
                  <c:v>Фармацевты + ТВ</c:v>
                </c:pt>
              </c:strCache>
            </c:strRef>
          </c:cat>
          <c:val>
            <c:numRef>
              <c:f>'Анализ общей выборки (N=88)'!$C$26:$C$29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E755-BC4E-9522-D763AE1029D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PSM </a:t>
            </a:r>
            <a:r>
              <a:rPr lang="ru-RU"/>
              <a:t>анализ(</a:t>
            </a:r>
            <a:r>
              <a:rPr lang="en-US"/>
              <a:t>N=88)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'PSM  Общая выборка'!$B$1</c:f>
              <c:strCache>
                <c:ptCount val="1"/>
                <c:pt idx="0">
                  <c:v>L: Слишком дешево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'PSM  Общая выборка'!$A$2:$A$24</c:f>
              <c:numCache>
                <c:formatCode>General</c:formatCode>
                <c:ptCount val="23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331</c:v>
                </c:pt>
                <c:pt idx="6">
                  <c:v>350</c:v>
                </c:pt>
                <c:pt idx="7">
                  <c:v>400</c:v>
                </c:pt>
                <c:pt idx="8">
                  <c:v>443</c:v>
                </c:pt>
                <c:pt idx="9">
                  <c:v>450</c:v>
                </c:pt>
                <c:pt idx="10">
                  <c:v>483</c:v>
                </c:pt>
                <c:pt idx="11">
                  <c:v>500</c:v>
                </c:pt>
                <c:pt idx="12">
                  <c:v>550</c:v>
                </c:pt>
                <c:pt idx="13">
                  <c:v>600</c:v>
                </c:pt>
                <c:pt idx="14">
                  <c:v>650</c:v>
                </c:pt>
                <c:pt idx="15">
                  <c:v>700</c:v>
                </c:pt>
                <c:pt idx="16">
                  <c:v>740</c:v>
                </c:pt>
                <c:pt idx="17">
                  <c:v>750</c:v>
                </c:pt>
                <c:pt idx="18">
                  <c:v>800</c:v>
                </c:pt>
                <c:pt idx="19">
                  <c:v>850</c:v>
                </c:pt>
                <c:pt idx="20">
                  <c:v>900</c:v>
                </c:pt>
                <c:pt idx="21">
                  <c:v>950</c:v>
                </c:pt>
                <c:pt idx="22">
                  <c:v>1000</c:v>
                </c:pt>
              </c:numCache>
            </c:numRef>
          </c:xVal>
          <c:yVal>
            <c:numRef>
              <c:f>'PSM  Общая выборка'!$B$2:$B$24</c:f>
              <c:numCache>
                <c:formatCode>0%</c:formatCode>
                <c:ptCount val="23"/>
                <c:pt idx="0">
                  <c:v>0.73863636363636365</c:v>
                </c:pt>
                <c:pt idx="1">
                  <c:v>0.65909090909090917</c:v>
                </c:pt>
                <c:pt idx="2">
                  <c:v>0.31818181818181823</c:v>
                </c:pt>
                <c:pt idx="3">
                  <c:v>0.29545454545454541</c:v>
                </c:pt>
                <c:pt idx="4">
                  <c:v>0.25</c:v>
                </c:pt>
                <c:pt idx="5">
                  <c:v>0.24</c:v>
                </c:pt>
                <c:pt idx="6">
                  <c:v>0.23863636363636365</c:v>
                </c:pt>
                <c:pt idx="7">
                  <c:v>0.23863636363636365</c:v>
                </c:pt>
                <c:pt idx="8">
                  <c:v>0.23</c:v>
                </c:pt>
                <c:pt idx="9">
                  <c:v>0.22727272727272729</c:v>
                </c:pt>
                <c:pt idx="10">
                  <c:v>0.08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C9-7B4F-A245-4A4239D699DB}"/>
            </c:ext>
          </c:extLst>
        </c:ser>
        <c:ser>
          <c:idx val="1"/>
          <c:order val="1"/>
          <c:tx>
            <c:strRef>
              <c:f>'PSM  Общая выборка'!$C$1</c:f>
              <c:strCache>
                <c:ptCount val="1"/>
                <c:pt idx="0">
                  <c:v>M: Выгодно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'PSM  Общая выборка'!$A$2:$A$24</c:f>
              <c:numCache>
                <c:formatCode>General</c:formatCode>
                <c:ptCount val="23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331</c:v>
                </c:pt>
                <c:pt idx="6">
                  <c:v>350</c:v>
                </c:pt>
                <c:pt idx="7">
                  <c:v>400</c:v>
                </c:pt>
                <c:pt idx="8">
                  <c:v>443</c:v>
                </c:pt>
                <c:pt idx="9">
                  <c:v>450</c:v>
                </c:pt>
                <c:pt idx="10">
                  <c:v>483</c:v>
                </c:pt>
                <c:pt idx="11">
                  <c:v>500</c:v>
                </c:pt>
                <c:pt idx="12">
                  <c:v>550</c:v>
                </c:pt>
                <c:pt idx="13">
                  <c:v>600</c:v>
                </c:pt>
                <c:pt idx="14">
                  <c:v>650</c:v>
                </c:pt>
                <c:pt idx="15">
                  <c:v>700</c:v>
                </c:pt>
                <c:pt idx="16">
                  <c:v>740</c:v>
                </c:pt>
                <c:pt idx="17">
                  <c:v>750</c:v>
                </c:pt>
                <c:pt idx="18">
                  <c:v>800</c:v>
                </c:pt>
                <c:pt idx="19">
                  <c:v>850</c:v>
                </c:pt>
                <c:pt idx="20">
                  <c:v>900</c:v>
                </c:pt>
                <c:pt idx="21">
                  <c:v>950</c:v>
                </c:pt>
                <c:pt idx="22">
                  <c:v>1000</c:v>
                </c:pt>
              </c:numCache>
            </c:numRef>
          </c:xVal>
          <c:yVal>
            <c:numRef>
              <c:f>'PSM  Общая выборка'!$C$2:$C$24</c:f>
              <c:numCache>
                <c:formatCode>0%</c:formatCode>
                <c:ptCount val="23"/>
                <c:pt idx="0">
                  <c:v>0.96590909090909094</c:v>
                </c:pt>
                <c:pt idx="1">
                  <c:v>0.94318181818181823</c:v>
                </c:pt>
                <c:pt idx="2">
                  <c:v>0.79545454545454541</c:v>
                </c:pt>
                <c:pt idx="3">
                  <c:v>0.76136363636363635</c:v>
                </c:pt>
                <c:pt idx="4">
                  <c:v>0.70454545454545459</c:v>
                </c:pt>
                <c:pt idx="5">
                  <c:v>0.64</c:v>
                </c:pt>
                <c:pt idx="6">
                  <c:v>0.60227272727272729</c:v>
                </c:pt>
                <c:pt idx="7">
                  <c:v>0.45454545454545459</c:v>
                </c:pt>
                <c:pt idx="8">
                  <c:v>0.41</c:v>
                </c:pt>
                <c:pt idx="9">
                  <c:v>0.40909090909090906</c:v>
                </c:pt>
                <c:pt idx="10">
                  <c:v>0.31</c:v>
                </c:pt>
                <c:pt idx="11">
                  <c:v>0.26136363636363635</c:v>
                </c:pt>
                <c:pt idx="12">
                  <c:v>0.26136363636363635</c:v>
                </c:pt>
                <c:pt idx="13">
                  <c:v>0.26136363636363635</c:v>
                </c:pt>
                <c:pt idx="14">
                  <c:v>0.26136363636363635</c:v>
                </c:pt>
                <c:pt idx="15">
                  <c:v>0.22727272727272729</c:v>
                </c:pt>
                <c:pt idx="16">
                  <c:v>0.23</c:v>
                </c:pt>
                <c:pt idx="17">
                  <c:v>0.22727272727272729</c:v>
                </c:pt>
                <c:pt idx="18">
                  <c:v>0.21590909090909094</c:v>
                </c:pt>
                <c:pt idx="19">
                  <c:v>0.21590909090909094</c:v>
                </c:pt>
                <c:pt idx="20">
                  <c:v>0.21590909090909094</c:v>
                </c:pt>
                <c:pt idx="21">
                  <c:v>0.21590909090909094</c:v>
                </c:pt>
                <c:pt idx="22">
                  <c:v>1.1363636363636354E-2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C9-7B4F-A245-4A4239D699DB}"/>
            </c:ext>
          </c:extLst>
        </c:ser>
        <c:ser>
          <c:idx val="2"/>
          <c:order val="2"/>
          <c:tx>
            <c:strRef>
              <c:f>'PSM  Общая выборка'!$D$1</c:f>
              <c:strCache>
                <c:ptCount val="1"/>
                <c:pt idx="0">
                  <c:v>N: Дорого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3.5819318400609215E-2"/>
                  <c:y val="-6.469658498918158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PMC:</a:t>
                    </a:r>
                    <a:r>
                      <a:rPr lang="en-US" baseline="0"/>
                      <a:t> 331 ₽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3742724254045108E-2"/>
                      <c:h val="4.76203243683825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2-F131-834E-9E63-1671B7D3E6CE}"/>
                </c:ext>
              </c:extLst>
            </c:dLbl>
            <c:dLbl>
              <c:idx val="8"/>
              <c:layout>
                <c:manualLayout>
                  <c:x val="-1.2945546576229271E-2"/>
                  <c:y val="-5.773222406742455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IPP: 443 ₽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F131-834E-9E63-1671B7D3E6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'PSM  Общая выборка'!$A$2:$A$24</c:f>
              <c:numCache>
                <c:formatCode>General</c:formatCode>
                <c:ptCount val="23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331</c:v>
                </c:pt>
                <c:pt idx="6">
                  <c:v>350</c:v>
                </c:pt>
                <c:pt idx="7">
                  <c:v>400</c:v>
                </c:pt>
                <c:pt idx="8">
                  <c:v>443</c:v>
                </c:pt>
                <c:pt idx="9">
                  <c:v>450</c:v>
                </c:pt>
                <c:pt idx="10">
                  <c:v>483</c:v>
                </c:pt>
                <c:pt idx="11">
                  <c:v>500</c:v>
                </c:pt>
                <c:pt idx="12">
                  <c:v>550</c:v>
                </c:pt>
                <c:pt idx="13">
                  <c:v>600</c:v>
                </c:pt>
                <c:pt idx="14">
                  <c:v>650</c:v>
                </c:pt>
                <c:pt idx="15">
                  <c:v>700</c:v>
                </c:pt>
                <c:pt idx="16">
                  <c:v>740</c:v>
                </c:pt>
                <c:pt idx="17">
                  <c:v>750</c:v>
                </c:pt>
                <c:pt idx="18">
                  <c:v>800</c:v>
                </c:pt>
                <c:pt idx="19">
                  <c:v>850</c:v>
                </c:pt>
                <c:pt idx="20">
                  <c:v>900</c:v>
                </c:pt>
                <c:pt idx="21">
                  <c:v>950</c:v>
                </c:pt>
                <c:pt idx="22">
                  <c:v>1000</c:v>
                </c:pt>
              </c:numCache>
            </c:numRef>
          </c:xVal>
          <c:yVal>
            <c:numRef>
              <c:f>'PSM  Общая выборка'!$D$2:$D$24</c:f>
              <c:numCache>
                <c:formatCode>0%</c:formatCode>
                <c:ptCount val="23"/>
                <c:pt idx="0">
                  <c:v>1.1363636363636354E-2</c:v>
                </c:pt>
                <c:pt idx="1">
                  <c:v>1.1363636363636354E-2</c:v>
                </c:pt>
                <c:pt idx="2">
                  <c:v>1.1363636363636354E-2</c:v>
                </c:pt>
                <c:pt idx="3">
                  <c:v>4.5454545454545414E-2</c:v>
                </c:pt>
                <c:pt idx="4">
                  <c:v>4.5454545454545414E-2</c:v>
                </c:pt>
                <c:pt idx="5">
                  <c:v>0.24</c:v>
                </c:pt>
                <c:pt idx="6">
                  <c:v>0.36363636363636365</c:v>
                </c:pt>
                <c:pt idx="7">
                  <c:v>0.38636363636363635</c:v>
                </c:pt>
                <c:pt idx="8">
                  <c:v>0.41</c:v>
                </c:pt>
                <c:pt idx="9">
                  <c:v>0.42045454545454541</c:v>
                </c:pt>
                <c:pt idx="10">
                  <c:v>0.43</c:v>
                </c:pt>
                <c:pt idx="11">
                  <c:v>0.43181818181818177</c:v>
                </c:pt>
                <c:pt idx="12">
                  <c:v>0.55681818181818188</c:v>
                </c:pt>
                <c:pt idx="13">
                  <c:v>0.56818181818181812</c:v>
                </c:pt>
                <c:pt idx="14">
                  <c:v>0.68181818181818188</c:v>
                </c:pt>
                <c:pt idx="15">
                  <c:v>0.69318181818181812</c:v>
                </c:pt>
                <c:pt idx="16">
                  <c:v>0.71</c:v>
                </c:pt>
                <c:pt idx="17">
                  <c:v>0.71590909090909083</c:v>
                </c:pt>
                <c:pt idx="18">
                  <c:v>0.72727272727272729</c:v>
                </c:pt>
                <c:pt idx="19">
                  <c:v>0.77272727272727271</c:v>
                </c:pt>
                <c:pt idx="20">
                  <c:v>0.77272727272727271</c:v>
                </c:pt>
                <c:pt idx="21">
                  <c:v>0.78409090909090906</c:v>
                </c:pt>
                <c:pt idx="22">
                  <c:v>0.79545454545454541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C9-7B4F-A245-4A4239D699DB}"/>
            </c:ext>
          </c:extLst>
        </c:ser>
        <c:ser>
          <c:idx val="3"/>
          <c:order val="3"/>
          <c:tx>
            <c:strRef>
              <c:f>'PSM  Общая выборка'!$E$1</c:f>
              <c:strCache>
                <c:ptCount val="1"/>
                <c:pt idx="0">
                  <c:v>O: Слишком дорого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10"/>
              <c:layout>
                <c:manualLayout>
                  <c:x val="-9.4934261591527701E-3"/>
                  <c:y val="-4.0681180202679836E-2"/>
                </c:manualLayout>
              </c:layout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OPP: 483 ₽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131-834E-9E63-1671B7D3E6CE}"/>
                </c:ext>
              </c:extLst>
            </c:dLbl>
            <c:dLbl>
              <c:idx val="16"/>
              <c:layout>
                <c:manualLayout>
                  <c:x val="-1.1219503642635093E-2"/>
                  <c:y val="-3.729108185245663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PME: 740 ₽</a:t>
                    </a:r>
                  </a:p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F131-834E-9E63-1671B7D3E6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'PSM  Общая выборка'!$A$2:$A$24</c:f>
              <c:numCache>
                <c:formatCode>General</c:formatCode>
                <c:ptCount val="23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331</c:v>
                </c:pt>
                <c:pt idx="6">
                  <c:v>350</c:v>
                </c:pt>
                <c:pt idx="7">
                  <c:v>400</c:v>
                </c:pt>
                <c:pt idx="8">
                  <c:v>443</c:v>
                </c:pt>
                <c:pt idx="9">
                  <c:v>450</c:v>
                </c:pt>
                <c:pt idx="10">
                  <c:v>483</c:v>
                </c:pt>
                <c:pt idx="11">
                  <c:v>500</c:v>
                </c:pt>
                <c:pt idx="12">
                  <c:v>550</c:v>
                </c:pt>
                <c:pt idx="13">
                  <c:v>600</c:v>
                </c:pt>
                <c:pt idx="14">
                  <c:v>650</c:v>
                </c:pt>
                <c:pt idx="15">
                  <c:v>700</c:v>
                </c:pt>
                <c:pt idx="16">
                  <c:v>740</c:v>
                </c:pt>
                <c:pt idx="17">
                  <c:v>750</c:v>
                </c:pt>
                <c:pt idx="18">
                  <c:v>800</c:v>
                </c:pt>
                <c:pt idx="19">
                  <c:v>850</c:v>
                </c:pt>
                <c:pt idx="20">
                  <c:v>900</c:v>
                </c:pt>
                <c:pt idx="21">
                  <c:v>950</c:v>
                </c:pt>
                <c:pt idx="22">
                  <c:v>1000</c:v>
                </c:pt>
              </c:numCache>
            </c:numRef>
          </c:xVal>
          <c:yVal>
            <c:numRef>
              <c:f>'PSM  Общая выборка'!$E$2:$E$24</c:f>
              <c:numCache>
                <c:formatCode>0%</c:formatCode>
                <c:ptCount val="23"/>
                <c:pt idx="0">
                  <c:v>1.1363636363636354E-2</c:v>
                </c:pt>
                <c:pt idx="1">
                  <c:v>1.1363636363636354E-2</c:v>
                </c:pt>
                <c:pt idx="2">
                  <c:v>1.1363636363636354E-2</c:v>
                </c:pt>
                <c:pt idx="3">
                  <c:v>1.1363636363636354E-2</c:v>
                </c:pt>
                <c:pt idx="4">
                  <c:v>2.2727272727272707E-2</c:v>
                </c:pt>
                <c:pt idx="5">
                  <c:v>0.03</c:v>
                </c:pt>
                <c:pt idx="6">
                  <c:v>4.5454545454545414E-2</c:v>
                </c:pt>
                <c:pt idx="7">
                  <c:v>4.5454545454545414E-2</c:v>
                </c:pt>
                <c:pt idx="8">
                  <c:v>7.0000000000000007E-2</c:v>
                </c:pt>
                <c:pt idx="9">
                  <c:v>7.9545454545454586E-2</c:v>
                </c:pt>
                <c:pt idx="10">
                  <c:v>0.08</c:v>
                </c:pt>
                <c:pt idx="11">
                  <c:v>7.9545454545454586E-2</c:v>
                </c:pt>
                <c:pt idx="12">
                  <c:v>0.125</c:v>
                </c:pt>
                <c:pt idx="13">
                  <c:v>0.13636363636363635</c:v>
                </c:pt>
                <c:pt idx="14">
                  <c:v>0.18181818181818177</c:v>
                </c:pt>
                <c:pt idx="15">
                  <c:v>0.18181818181818177</c:v>
                </c:pt>
                <c:pt idx="16">
                  <c:v>0.23</c:v>
                </c:pt>
                <c:pt idx="17">
                  <c:v>0.23863636363636365</c:v>
                </c:pt>
                <c:pt idx="18">
                  <c:v>0.25</c:v>
                </c:pt>
                <c:pt idx="19">
                  <c:v>0.27272727272727271</c:v>
                </c:pt>
                <c:pt idx="20">
                  <c:v>0.27272727272727271</c:v>
                </c:pt>
                <c:pt idx="21">
                  <c:v>0.27272727272727271</c:v>
                </c:pt>
                <c:pt idx="22">
                  <c:v>0.27272727272727271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C9-7B4F-A245-4A4239D69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41392"/>
        <c:axId val="70443104"/>
      </c:scatterChart>
      <c:valAx>
        <c:axId val="70441392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43104"/>
        <c:crosses val="autoZero"/>
        <c:crossBetween val="midCat"/>
      </c:valAx>
      <c:valAx>
        <c:axId val="704431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41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27093</xdr:colOff>
      <xdr:row>9</xdr:row>
      <xdr:rowOff>167639</xdr:rowOff>
    </xdr:from>
    <xdr:to>
      <xdr:col>10</xdr:col>
      <xdr:colOff>67734</xdr:colOff>
      <xdr:row>21</xdr:row>
      <xdr:rowOff>135466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09572F3-EBE5-CB4B-D826-22C5CBF3D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698932</xdr:colOff>
      <xdr:row>24</xdr:row>
      <xdr:rowOff>92335</xdr:rowOff>
    </xdr:from>
    <xdr:to>
      <xdr:col>9</xdr:col>
      <xdr:colOff>575733</xdr:colOff>
      <xdr:row>39</xdr:row>
      <xdr:rowOff>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D587F75-F38C-190C-5AF1-7B0058305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198783</xdr:colOff>
      <xdr:row>42</xdr:row>
      <xdr:rowOff>152401</xdr:rowOff>
    </xdr:from>
    <xdr:to>
      <xdr:col>10</xdr:col>
      <xdr:colOff>575929</xdr:colOff>
      <xdr:row>62</xdr:row>
      <xdr:rowOff>88605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1A4F9B9-17CD-B943-ABAA-1ADF07972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507999</xdr:colOff>
      <xdr:row>42</xdr:row>
      <xdr:rowOff>33866</xdr:rowOff>
    </xdr:from>
    <xdr:to>
      <xdr:col>32</xdr:col>
      <xdr:colOff>338557</xdr:colOff>
      <xdr:row>64</xdr:row>
      <xdr:rowOff>16933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76E79B6-660E-0343-3049-5C4D8C25C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42932" y="11175999"/>
          <a:ext cx="18406425" cy="40809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9"/>
  <sheetViews>
    <sheetView zoomScale="50" workbookViewId="0">
      <selection activeCell="AT28" sqref="AT28"/>
    </sheetView>
  </sheetViews>
  <sheetFormatPr baseColWidth="10" defaultColWidth="20.83203125" defaultRowHeight="15" outlineLevelCol="1"/>
  <cols>
    <col min="1" max="1" width="8.83203125" customWidth="1"/>
    <col min="2" max="2" width="8.5" customWidth="1"/>
    <col min="4" max="4" width="24.5" style="1" customWidth="1" outlineLevel="1"/>
    <col min="5" max="5" width="26" style="1" customWidth="1" outlineLevel="1"/>
    <col min="6" max="6" width="24.5" style="1" customWidth="1" outlineLevel="1"/>
    <col min="7" max="7" width="25" style="1" customWidth="1" outlineLevel="1"/>
    <col min="8" max="9" width="20.83203125" style="1"/>
    <col min="10" max="10" width="34.6640625" style="3" customWidth="1"/>
    <col min="11" max="11" width="22.6640625" style="1" customWidth="1"/>
    <col min="16" max="16" width="39.33203125" style="1" customWidth="1"/>
    <col min="17" max="17" width="25" customWidth="1"/>
  </cols>
  <sheetData>
    <row r="1" spans="1:17" s="2" customFormat="1" ht="125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216</v>
      </c>
      <c r="Q1" s="36" t="s">
        <v>15</v>
      </c>
    </row>
    <row r="2" spans="1:17" ht="45">
      <c r="A2" s="37" t="s">
        <v>16</v>
      </c>
      <c r="B2" s="37" t="s">
        <v>17</v>
      </c>
      <c r="C2" s="37" t="s">
        <v>18</v>
      </c>
      <c r="D2" s="38"/>
      <c r="E2" s="38"/>
      <c r="F2" s="38"/>
      <c r="G2" s="38" t="s">
        <v>19</v>
      </c>
      <c r="H2" s="38" t="s">
        <v>20</v>
      </c>
      <c r="I2" s="38" t="s">
        <v>21</v>
      </c>
      <c r="J2" s="37">
        <v>8</v>
      </c>
      <c r="K2" s="38" t="s">
        <v>22</v>
      </c>
      <c r="L2" s="37">
        <v>200</v>
      </c>
      <c r="M2" s="37">
        <v>400</v>
      </c>
      <c r="N2" s="37">
        <v>600</v>
      </c>
      <c r="O2" s="37">
        <v>1000</v>
      </c>
      <c r="P2" s="38" t="s">
        <v>23</v>
      </c>
      <c r="Q2" s="37" t="s">
        <v>24</v>
      </c>
    </row>
    <row r="3" spans="1:17" ht="45">
      <c r="A3" s="37" t="s">
        <v>25</v>
      </c>
      <c r="B3" s="37" t="s">
        <v>26</v>
      </c>
      <c r="C3" s="37" t="s">
        <v>27</v>
      </c>
      <c r="D3" s="38"/>
      <c r="E3" s="38" t="s">
        <v>28</v>
      </c>
      <c r="F3" s="38"/>
      <c r="G3" s="38"/>
      <c r="H3" s="38" t="s">
        <v>20</v>
      </c>
      <c r="I3" s="38" t="s">
        <v>21</v>
      </c>
      <c r="J3" s="37">
        <v>9</v>
      </c>
      <c r="K3" s="38" t="s">
        <v>22</v>
      </c>
      <c r="L3" s="37">
        <v>100</v>
      </c>
      <c r="M3" s="37">
        <v>500</v>
      </c>
      <c r="N3" s="37">
        <v>700</v>
      </c>
      <c r="O3" s="37">
        <v>1000</v>
      </c>
      <c r="P3" s="38" t="s">
        <v>29</v>
      </c>
      <c r="Q3" s="37" t="s">
        <v>24</v>
      </c>
    </row>
    <row r="4" spans="1:17" ht="60">
      <c r="A4" s="37" t="s">
        <v>30</v>
      </c>
      <c r="B4" s="37" t="s">
        <v>31</v>
      </c>
      <c r="C4" s="37" t="s">
        <v>32</v>
      </c>
      <c r="D4" s="38"/>
      <c r="E4" s="38" t="s">
        <v>28</v>
      </c>
      <c r="F4" s="38"/>
      <c r="G4" s="38"/>
      <c r="H4" s="38" t="s">
        <v>33</v>
      </c>
      <c r="I4" s="38" t="s">
        <v>34</v>
      </c>
      <c r="J4" s="37">
        <v>7</v>
      </c>
      <c r="K4" s="38" t="s">
        <v>35</v>
      </c>
      <c r="L4" s="37">
        <v>150</v>
      </c>
      <c r="M4" s="37">
        <v>450</v>
      </c>
      <c r="N4" s="37">
        <v>750</v>
      </c>
      <c r="O4" s="37">
        <v>1200</v>
      </c>
      <c r="P4" s="38" t="s">
        <v>23</v>
      </c>
      <c r="Q4" s="37" t="s">
        <v>24</v>
      </c>
    </row>
    <row r="5" spans="1:17" ht="45">
      <c r="A5" s="37" t="s">
        <v>36</v>
      </c>
      <c r="B5" s="37" t="s">
        <v>37</v>
      </c>
      <c r="C5" s="37" t="s">
        <v>27</v>
      </c>
      <c r="D5" s="38"/>
      <c r="E5" s="38" t="s">
        <v>28</v>
      </c>
      <c r="F5" s="38"/>
      <c r="G5" s="38"/>
      <c r="H5" s="38" t="s">
        <v>20</v>
      </c>
      <c r="I5" s="38" t="s">
        <v>21</v>
      </c>
      <c r="J5" s="37">
        <v>5</v>
      </c>
      <c r="K5" s="38" t="s">
        <v>22</v>
      </c>
      <c r="L5" s="37">
        <v>100</v>
      </c>
      <c r="M5" s="37">
        <v>200</v>
      </c>
      <c r="N5" s="37">
        <v>300</v>
      </c>
      <c r="O5" s="37">
        <v>400</v>
      </c>
      <c r="P5" s="38" t="s">
        <v>29</v>
      </c>
      <c r="Q5" s="37" t="s">
        <v>38</v>
      </c>
    </row>
    <row r="6" spans="1:17" ht="45">
      <c r="A6" s="37" t="s">
        <v>39</v>
      </c>
      <c r="B6" s="37" t="s">
        <v>40</v>
      </c>
      <c r="C6" s="37" t="s">
        <v>27</v>
      </c>
      <c r="D6" s="38"/>
      <c r="E6" s="38" t="s">
        <v>28</v>
      </c>
      <c r="F6" s="38"/>
      <c r="G6" s="38"/>
      <c r="H6" s="38" t="s">
        <v>20</v>
      </c>
      <c r="I6" s="38" t="s">
        <v>21</v>
      </c>
      <c r="J6" s="37">
        <v>8</v>
      </c>
      <c r="K6" s="38" t="s">
        <v>22</v>
      </c>
      <c r="L6" s="37">
        <v>200</v>
      </c>
      <c r="M6" s="37">
        <v>450</v>
      </c>
      <c r="N6" s="37">
        <v>600</v>
      </c>
      <c r="O6" s="37">
        <v>1000</v>
      </c>
      <c r="P6" s="38" t="s">
        <v>29</v>
      </c>
      <c r="Q6" s="37" t="s">
        <v>38</v>
      </c>
    </row>
    <row r="7" spans="1:17" ht="45">
      <c r="A7" s="37" t="s">
        <v>41</v>
      </c>
      <c r="B7" s="37" t="s">
        <v>42</v>
      </c>
      <c r="C7" s="37" t="s">
        <v>32</v>
      </c>
      <c r="D7" s="38"/>
      <c r="E7" s="38"/>
      <c r="F7" s="38"/>
      <c r="G7" s="38" t="s">
        <v>19</v>
      </c>
      <c r="H7" s="38" t="s">
        <v>20</v>
      </c>
      <c r="I7" s="38" t="s">
        <v>21</v>
      </c>
      <c r="J7" s="37">
        <v>10</v>
      </c>
      <c r="K7" s="38" t="s">
        <v>22</v>
      </c>
      <c r="L7" s="37">
        <v>50</v>
      </c>
      <c r="M7" s="37">
        <v>100</v>
      </c>
      <c r="N7" s="37">
        <v>200</v>
      </c>
      <c r="O7" s="37">
        <v>300</v>
      </c>
      <c r="P7" s="38" t="s">
        <v>43</v>
      </c>
      <c r="Q7" s="37" t="s">
        <v>38</v>
      </c>
    </row>
    <row r="8" spans="1:17" ht="60">
      <c r="A8" s="37" t="s">
        <v>44</v>
      </c>
      <c r="B8" s="37" t="s">
        <v>45</v>
      </c>
      <c r="C8" s="37" t="s">
        <v>32</v>
      </c>
      <c r="D8" s="38"/>
      <c r="E8" s="38" t="s">
        <v>28</v>
      </c>
      <c r="F8" s="38"/>
      <c r="G8" s="38"/>
      <c r="H8" s="38" t="s">
        <v>46</v>
      </c>
      <c r="I8" s="38" t="s">
        <v>21</v>
      </c>
      <c r="J8" s="37">
        <v>4</v>
      </c>
      <c r="K8" s="38" t="s">
        <v>22</v>
      </c>
      <c r="L8" s="37">
        <v>200</v>
      </c>
      <c r="M8" s="37">
        <v>350</v>
      </c>
      <c r="N8" s="37">
        <v>450</v>
      </c>
      <c r="O8" s="37">
        <v>500</v>
      </c>
      <c r="P8" s="38" t="s">
        <v>43</v>
      </c>
      <c r="Q8" s="37" t="s">
        <v>38</v>
      </c>
    </row>
    <row r="9" spans="1:17" ht="45">
      <c r="A9" s="37" t="s">
        <v>47</v>
      </c>
      <c r="B9" s="37" t="s">
        <v>48</v>
      </c>
      <c r="C9" s="37" t="s">
        <v>49</v>
      </c>
      <c r="D9" s="38" t="s">
        <v>50</v>
      </c>
      <c r="E9" s="38"/>
      <c r="F9" s="38"/>
      <c r="G9" s="38"/>
      <c r="H9" s="38" t="s">
        <v>51</v>
      </c>
      <c r="I9" s="38" t="s">
        <v>21</v>
      </c>
      <c r="J9" s="37">
        <v>4</v>
      </c>
      <c r="K9" s="38" t="s">
        <v>22</v>
      </c>
      <c r="L9" s="37">
        <v>200</v>
      </c>
      <c r="M9" s="37">
        <v>350</v>
      </c>
      <c r="N9" s="37">
        <v>400</v>
      </c>
      <c r="O9" s="37">
        <v>410</v>
      </c>
      <c r="P9" s="38" t="s">
        <v>29</v>
      </c>
      <c r="Q9" s="37" t="s">
        <v>52</v>
      </c>
    </row>
    <row r="10" spans="1:17" ht="60">
      <c r="A10" s="37" t="s">
        <v>53</v>
      </c>
      <c r="B10" s="37" t="s">
        <v>54</v>
      </c>
      <c r="C10" s="37" t="s">
        <v>32</v>
      </c>
      <c r="D10" s="38"/>
      <c r="E10" s="38" t="s">
        <v>28</v>
      </c>
      <c r="F10" s="38"/>
      <c r="G10" s="38"/>
      <c r="H10" s="38" t="s">
        <v>33</v>
      </c>
      <c r="I10" s="38" t="s">
        <v>34</v>
      </c>
      <c r="J10" s="37">
        <v>8</v>
      </c>
      <c r="K10" s="38" t="s">
        <v>22</v>
      </c>
      <c r="L10" s="37">
        <v>100</v>
      </c>
      <c r="M10" s="37">
        <v>350</v>
      </c>
      <c r="N10" s="37">
        <v>500</v>
      </c>
      <c r="O10" s="37">
        <v>750</v>
      </c>
      <c r="P10" s="38" t="s">
        <v>23</v>
      </c>
      <c r="Q10" s="37" t="s">
        <v>38</v>
      </c>
    </row>
    <row r="11" spans="1:17" ht="60">
      <c r="A11" s="37" t="s">
        <v>55</v>
      </c>
      <c r="B11" s="37" t="s">
        <v>56</v>
      </c>
      <c r="C11" s="37" t="s">
        <v>32</v>
      </c>
      <c r="D11" s="38"/>
      <c r="E11" s="38"/>
      <c r="F11" s="38"/>
      <c r="G11" s="38" t="s">
        <v>19</v>
      </c>
      <c r="H11" s="38" t="s">
        <v>46</v>
      </c>
      <c r="I11" s="38" t="s">
        <v>21</v>
      </c>
      <c r="J11" s="37">
        <v>7</v>
      </c>
      <c r="K11" s="38" t="s">
        <v>22</v>
      </c>
      <c r="L11" s="37">
        <v>500</v>
      </c>
      <c r="M11" s="37">
        <v>1000</v>
      </c>
      <c r="N11" s="37">
        <v>2000</v>
      </c>
      <c r="O11" s="37">
        <v>2100</v>
      </c>
      <c r="P11" s="38" t="s">
        <v>29</v>
      </c>
      <c r="Q11" s="37" t="s">
        <v>38</v>
      </c>
    </row>
    <row r="12" spans="1:17" ht="30">
      <c r="A12" s="37" t="s">
        <v>57</v>
      </c>
      <c r="B12" s="37" t="s">
        <v>58</v>
      </c>
      <c r="C12" s="37" t="s">
        <v>49</v>
      </c>
      <c r="D12" s="38" t="s">
        <v>50</v>
      </c>
      <c r="E12" s="38"/>
      <c r="F12" s="38" t="s">
        <v>59</v>
      </c>
      <c r="G12" s="38"/>
      <c r="H12" s="38" t="s">
        <v>20</v>
      </c>
      <c r="I12" s="38" t="s">
        <v>21</v>
      </c>
      <c r="J12" s="37">
        <v>7</v>
      </c>
      <c r="K12" s="38" t="s">
        <v>22</v>
      </c>
      <c r="L12" s="37">
        <v>100</v>
      </c>
      <c r="M12" s="37">
        <v>380</v>
      </c>
      <c r="N12" s="37">
        <v>500</v>
      </c>
      <c r="O12" s="37">
        <v>700</v>
      </c>
      <c r="P12" s="38" t="s">
        <v>29</v>
      </c>
      <c r="Q12" s="37" t="s">
        <v>24</v>
      </c>
    </row>
    <row r="13" spans="1:17" ht="45">
      <c r="A13" s="37" t="s">
        <v>60</v>
      </c>
      <c r="B13" s="37" t="s">
        <v>61</v>
      </c>
      <c r="C13" s="37" t="s">
        <v>32</v>
      </c>
      <c r="D13" s="38"/>
      <c r="E13" s="38"/>
      <c r="F13" s="38" t="s">
        <v>59</v>
      </c>
      <c r="G13" s="38"/>
      <c r="H13" s="38" t="s">
        <v>51</v>
      </c>
      <c r="I13" s="38" t="s">
        <v>21</v>
      </c>
      <c r="J13" s="37">
        <v>10</v>
      </c>
      <c r="K13" s="38" t="s">
        <v>22</v>
      </c>
      <c r="L13" s="37">
        <v>250</v>
      </c>
      <c r="M13" s="37">
        <v>350</v>
      </c>
      <c r="N13" s="37">
        <v>500</v>
      </c>
      <c r="O13" s="37">
        <v>1000</v>
      </c>
      <c r="P13" s="38" t="s">
        <v>29</v>
      </c>
      <c r="Q13" s="37" t="s">
        <v>24</v>
      </c>
    </row>
    <row r="14" spans="1:17" ht="30">
      <c r="A14" s="37" t="s">
        <v>62</v>
      </c>
      <c r="B14" s="37" t="s">
        <v>63</v>
      </c>
      <c r="C14" s="37" t="s">
        <v>18</v>
      </c>
      <c r="D14" s="38" t="s">
        <v>50</v>
      </c>
      <c r="E14" s="38"/>
      <c r="F14" s="38"/>
      <c r="G14" s="38"/>
      <c r="H14" s="38" t="s">
        <v>20</v>
      </c>
      <c r="I14" s="38" t="s">
        <v>21</v>
      </c>
      <c r="J14" s="37">
        <v>10</v>
      </c>
      <c r="K14" s="38" t="s">
        <v>22</v>
      </c>
      <c r="L14" s="37">
        <v>199</v>
      </c>
      <c r="M14" s="37">
        <v>699</v>
      </c>
      <c r="N14" s="37">
        <v>999</v>
      </c>
      <c r="O14" s="37">
        <v>1599</v>
      </c>
      <c r="P14" s="38" t="s">
        <v>23</v>
      </c>
      <c r="Q14" s="37" t="s">
        <v>38</v>
      </c>
    </row>
    <row r="15" spans="1:17" ht="60">
      <c r="A15" s="37" t="s">
        <v>64</v>
      </c>
      <c r="B15" s="37" t="s">
        <v>65</v>
      </c>
      <c r="C15" s="37" t="s">
        <v>32</v>
      </c>
      <c r="D15" s="38" t="s">
        <v>50</v>
      </c>
      <c r="E15" s="38" t="s">
        <v>28</v>
      </c>
      <c r="F15" s="38"/>
      <c r="G15" s="38"/>
      <c r="H15" s="38" t="s">
        <v>46</v>
      </c>
      <c r="I15" s="38" t="s">
        <v>21</v>
      </c>
      <c r="J15" s="37">
        <v>10</v>
      </c>
      <c r="K15" s="38" t="s">
        <v>22</v>
      </c>
      <c r="L15" s="37">
        <v>150</v>
      </c>
      <c r="M15" s="37">
        <v>400</v>
      </c>
      <c r="N15" s="37">
        <v>600</v>
      </c>
      <c r="O15" s="37">
        <v>1000</v>
      </c>
      <c r="P15" s="38" t="s">
        <v>29</v>
      </c>
      <c r="Q15" s="37" t="s">
        <v>24</v>
      </c>
    </row>
    <row r="16" spans="1:17" ht="45">
      <c r="A16" s="37" t="s">
        <v>66</v>
      </c>
      <c r="B16" s="37" t="s">
        <v>67</v>
      </c>
      <c r="C16" s="37" t="s">
        <v>32</v>
      </c>
      <c r="D16" s="38" t="s">
        <v>50</v>
      </c>
      <c r="E16" s="38" t="s">
        <v>28</v>
      </c>
      <c r="F16" s="38"/>
      <c r="G16" s="38"/>
      <c r="H16" s="38" t="s">
        <v>51</v>
      </c>
      <c r="I16" s="38" t="s">
        <v>21</v>
      </c>
      <c r="J16" s="37">
        <v>5</v>
      </c>
      <c r="K16" s="38" t="s">
        <v>22</v>
      </c>
      <c r="L16" s="37">
        <v>100</v>
      </c>
      <c r="M16" s="37">
        <v>1000</v>
      </c>
      <c r="N16" s="37">
        <v>3000</v>
      </c>
      <c r="O16" s="37">
        <v>5000</v>
      </c>
      <c r="P16" s="38" t="s">
        <v>29</v>
      </c>
      <c r="Q16" s="37" t="s">
        <v>24</v>
      </c>
    </row>
    <row r="17" spans="1:17" ht="30">
      <c r="A17" s="37" t="s">
        <v>68</v>
      </c>
      <c r="B17" s="37" t="s">
        <v>69</v>
      </c>
      <c r="C17" s="37" t="s">
        <v>49</v>
      </c>
      <c r="D17" s="38" t="s">
        <v>50</v>
      </c>
      <c r="E17" s="38"/>
      <c r="F17" s="38" t="s">
        <v>59</v>
      </c>
      <c r="G17" s="38"/>
      <c r="H17" s="38" t="s">
        <v>20</v>
      </c>
      <c r="I17" s="38" t="s">
        <v>70</v>
      </c>
      <c r="J17" s="37">
        <v>8</v>
      </c>
      <c r="K17" s="38" t="s">
        <v>35</v>
      </c>
      <c r="L17" s="37">
        <v>100</v>
      </c>
      <c r="M17" s="37">
        <v>500</v>
      </c>
      <c r="N17" s="37">
        <v>800</v>
      </c>
      <c r="O17" s="37">
        <v>1000</v>
      </c>
      <c r="P17" s="38" t="s">
        <v>29</v>
      </c>
      <c r="Q17" s="37" t="s">
        <v>24</v>
      </c>
    </row>
    <row r="18" spans="1:17" ht="45">
      <c r="A18" s="37" t="s">
        <v>71</v>
      </c>
      <c r="B18" s="37" t="s">
        <v>72</v>
      </c>
      <c r="C18" s="37" t="s">
        <v>32</v>
      </c>
      <c r="D18" s="38"/>
      <c r="E18" s="38"/>
      <c r="F18" s="38"/>
      <c r="G18" s="38" t="s">
        <v>19</v>
      </c>
      <c r="H18" s="38" t="s">
        <v>20</v>
      </c>
      <c r="I18" s="38" t="s">
        <v>21</v>
      </c>
      <c r="J18" s="37">
        <v>1</v>
      </c>
      <c r="K18" s="38" t="s">
        <v>22</v>
      </c>
      <c r="L18" s="37">
        <v>100</v>
      </c>
      <c r="M18" s="37">
        <v>250</v>
      </c>
      <c r="N18" s="37">
        <v>300</v>
      </c>
      <c r="O18" s="37">
        <v>500</v>
      </c>
      <c r="P18" s="38" t="s">
        <v>29</v>
      </c>
      <c r="Q18" s="37" t="s">
        <v>38</v>
      </c>
    </row>
    <row r="19" spans="1:17" ht="45">
      <c r="A19" s="37" t="s">
        <v>73</v>
      </c>
      <c r="B19" s="37" t="s">
        <v>74</v>
      </c>
      <c r="C19" s="37" t="s">
        <v>32</v>
      </c>
      <c r="D19" s="38" t="s">
        <v>50</v>
      </c>
      <c r="E19" s="38" t="s">
        <v>28</v>
      </c>
      <c r="F19" s="38"/>
      <c r="G19" s="38"/>
      <c r="H19" s="38" t="s">
        <v>51</v>
      </c>
      <c r="I19" s="38" t="s">
        <v>21</v>
      </c>
      <c r="J19" s="37">
        <v>7</v>
      </c>
      <c r="K19" s="38" t="s">
        <v>22</v>
      </c>
      <c r="L19" s="37">
        <v>200</v>
      </c>
      <c r="M19" s="37">
        <v>350</v>
      </c>
      <c r="N19" s="37">
        <v>500</v>
      </c>
      <c r="O19" s="37">
        <v>600</v>
      </c>
      <c r="P19" s="38" t="s">
        <v>29</v>
      </c>
      <c r="Q19" s="37" t="s">
        <v>38</v>
      </c>
    </row>
    <row r="20" spans="1:17" ht="45">
      <c r="A20" s="37" t="s">
        <v>75</v>
      </c>
      <c r="B20" s="37" t="s">
        <v>76</v>
      </c>
      <c r="C20" s="37" t="s">
        <v>32</v>
      </c>
      <c r="D20" s="38"/>
      <c r="E20" s="38" t="s">
        <v>28</v>
      </c>
      <c r="F20" s="38"/>
      <c r="G20" s="38"/>
      <c r="H20" s="38" t="s">
        <v>51</v>
      </c>
      <c r="I20" s="38" t="s">
        <v>70</v>
      </c>
      <c r="J20" s="37">
        <v>10</v>
      </c>
      <c r="K20" s="38" t="s">
        <v>35</v>
      </c>
      <c r="L20" s="37">
        <v>500</v>
      </c>
      <c r="M20" s="37">
        <v>0</v>
      </c>
      <c r="N20" s="37">
        <v>2000</v>
      </c>
      <c r="O20" s="37">
        <v>5000</v>
      </c>
      <c r="P20" s="38" t="s">
        <v>23</v>
      </c>
      <c r="Q20" s="37" t="s">
        <v>24</v>
      </c>
    </row>
    <row r="21" spans="1:17" ht="45">
      <c r="A21" s="37" t="s">
        <v>77</v>
      </c>
      <c r="B21" s="37" t="s">
        <v>78</v>
      </c>
      <c r="C21" s="37" t="s">
        <v>32</v>
      </c>
      <c r="D21" s="38" t="s">
        <v>50</v>
      </c>
      <c r="E21" s="38"/>
      <c r="F21" s="38"/>
      <c r="G21" s="38"/>
      <c r="H21" s="38" t="s">
        <v>51</v>
      </c>
      <c r="I21" s="38" t="s">
        <v>21</v>
      </c>
      <c r="J21" s="37">
        <v>10</v>
      </c>
      <c r="K21" s="38" t="s">
        <v>35</v>
      </c>
      <c r="L21" s="37">
        <v>300</v>
      </c>
      <c r="M21" s="37">
        <v>500</v>
      </c>
      <c r="N21" s="37">
        <v>1000</v>
      </c>
      <c r="O21" s="37">
        <v>2000</v>
      </c>
      <c r="P21" s="38" t="s">
        <v>29</v>
      </c>
      <c r="Q21" s="37" t="s">
        <v>24</v>
      </c>
    </row>
    <row r="22" spans="1:17" ht="45">
      <c r="A22" s="37" t="s">
        <v>79</v>
      </c>
      <c r="B22" s="37" t="s">
        <v>80</v>
      </c>
      <c r="C22" s="37" t="s">
        <v>32</v>
      </c>
      <c r="D22" s="38"/>
      <c r="E22" s="38" t="s">
        <v>28</v>
      </c>
      <c r="F22" s="38"/>
      <c r="G22" s="38"/>
      <c r="H22" s="38" t="s">
        <v>51</v>
      </c>
      <c r="I22" s="38" t="s">
        <v>21</v>
      </c>
      <c r="J22" s="37">
        <v>8</v>
      </c>
      <c r="K22" s="38" t="s">
        <v>35</v>
      </c>
      <c r="L22" s="37">
        <v>100</v>
      </c>
      <c r="M22" s="37">
        <v>120</v>
      </c>
      <c r="N22" s="37">
        <v>200</v>
      </c>
      <c r="O22" s="37">
        <v>250</v>
      </c>
      <c r="P22" s="38" t="s">
        <v>23</v>
      </c>
      <c r="Q22" s="37" t="s">
        <v>38</v>
      </c>
    </row>
    <row r="23" spans="1:17" ht="45">
      <c r="A23" s="37" t="s">
        <v>81</v>
      </c>
      <c r="B23" s="37" t="s">
        <v>82</v>
      </c>
      <c r="C23" s="37" t="s">
        <v>32</v>
      </c>
      <c r="D23" s="38"/>
      <c r="E23" s="38" t="s">
        <v>28</v>
      </c>
      <c r="F23" s="38"/>
      <c r="G23" s="38"/>
      <c r="H23" s="38" t="s">
        <v>51</v>
      </c>
      <c r="I23" s="38" t="s">
        <v>21</v>
      </c>
      <c r="J23" s="37">
        <v>8</v>
      </c>
      <c r="K23" s="38" t="s">
        <v>35</v>
      </c>
      <c r="L23" s="37">
        <v>200</v>
      </c>
      <c r="M23" s="37">
        <v>500</v>
      </c>
      <c r="N23" s="37">
        <v>600</v>
      </c>
      <c r="O23" s="37">
        <v>700</v>
      </c>
      <c r="P23" s="38" t="s">
        <v>23</v>
      </c>
      <c r="Q23" s="37" t="s">
        <v>38</v>
      </c>
    </row>
    <row r="24" spans="1:17" ht="60">
      <c r="A24" s="37" t="s">
        <v>83</v>
      </c>
      <c r="B24" s="37" t="s">
        <v>84</v>
      </c>
      <c r="C24" s="37" t="s">
        <v>49</v>
      </c>
      <c r="D24" s="38"/>
      <c r="E24" s="38" t="s">
        <v>28</v>
      </c>
      <c r="F24" s="38"/>
      <c r="G24" s="38"/>
      <c r="H24" s="38" t="s">
        <v>46</v>
      </c>
      <c r="I24" s="38" t="s">
        <v>21</v>
      </c>
      <c r="J24" s="37">
        <v>8</v>
      </c>
      <c r="K24" s="38" t="s">
        <v>35</v>
      </c>
      <c r="L24" s="37">
        <v>300</v>
      </c>
      <c r="M24" s="37">
        <v>800</v>
      </c>
      <c r="N24" s="37">
        <v>1200</v>
      </c>
      <c r="O24" s="37">
        <v>2000</v>
      </c>
      <c r="P24" s="38" t="s">
        <v>23</v>
      </c>
      <c r="Q24" s="37" t="s">
        <v>24</v>
      </c>
    </row>
    <row r="25" spans="1:17" ht="60">
      <c r="A25" s="37" t="s">
        <v>85</v>
      </c>
      <c r="B25" s="37" t="s">
        <v>86</v>
      </c>
      <c r="C25" s="37" t="s">
        <v>32</v>
      </c>
      <c r="D25" s="38"/>
      <c r="E25" s="38" t="s">
        <v>28</v>
      </c>
      <c r="F25" s="38"/>
      <c r="G25" s="38"/>
      <c r="H25" s="38" t="s">
        <v>46</v>
      </c>
      <c r="I25" s="38" t="s">
        <v>21</v>
      </c>
      <c r="J25" s="37">
        <v>10</v>
      </c>
      <c r="K25" s="38" t="s">
        <v>35</v>
      </c>
      <c r="L25" s="37">
        <v>200</v>
      </c>
      <c r="M25" s="37">
        <v>500</v>
      </c>
      <c r="N25" s="37">
        <v>800</v>
      </c>
      <c r="O25" s="37">
        <v>1000</v>
      </c>
      <c r="P25" s="38" t="s">
        <v>23</v>
      </c>
      <c r="Q25" s="37" t="s">
        <v>24</v>
      </c>
    </row>
    <row r="26" spans="1:17" ht="45">
      <c r="A26" s="37" t="s">
        <v>87</v>
      </c>
      <c r="B26" s="37" t="s">
        <v>88</v>
      </c>
      <c r="C26" s="37" t="s">
        <v>32</v>
      </c>
      <c r="D26" s="38"/>
      <c r="E26" s="38"/>
      <c r="F26" s="38"/>
      <c r="G26" s="38" t="s">
        <v>19</v>
      </c>
      <c r="H26" s="38" t="s">
        <v>20</v>
      </c>
      <c r="I26" s="38" t="s">
        <v>21</v>
      </c>
      <c r="J26" s="37">
        <v>10</v>
      </c>
      <c r="K26" s="38" t="s">
        <v>22</v>
      </c>
      <c r="L26" s="37">
        <v>200</v>
      </c>
      <c r="M26" s="37">
        <v>458</v>
      </c>
      <c r="N26" s="37">
        <v>600</v>
      </c>
      <c r="O26" s="37">
        <v>1000</v>
      </c>
      <c r="P26" s="38" t="s">
        <v>23</v>
      </c>
      <c r="Q26" s="37" t="s">
        <v>24</v>
      </c>
    </row>
    <row r="27" spans="1:17" ht="45">
      <c r="A27" s="37" t="s">
        <v>89</v>
      </c>
      <c r="B27" s="37" t="s">
        <v>90</v>
      </c>
      <c r="C27" s="37" t="s">
        <v>32</v>
      </c>
      <c r="D27" s="38"/>
      <c r="E27" s="38"/>
      <c r="F27" s="38"/>
      <c r="G27" s="38" t="s">
        <v>19</v>
      </c>
      <c r="H27" s="38" t="s">
        <v>51</v>
      </c>
      <c r="I27" s="38" t="s">
        <v>21</v>
      </c>
      <c r="J27" s="37">
        <v>1</v>
      </c>
      <c r="K27" s="38" t="s">
        <v>22</v>
      </c>
      <c r="L27" s="37">
        <v>200</v>
      </c>
      <c r="M27" s="37">
        <v>400</v>
      </c>
      <c r="N27" s="37">
        <v>700</v>
      </c>
      <c r="O27" s="37">
        <v>1000</v>
      </c>
      <c r="P27" s="38" t="s">
        <v>29</v>
      </c>
      <c r="Q27" s="37" t="s">
        <v>38</v>
      </c>
    </row>
    <row r="28" spans="1:17" ht="60">
      <c r="A28" s="37" t="s">
        <v>91</v>
      </c>
      <c r="B28" s="37" t="s">
        <v>92</v>
      </c>
      <c r="C28" s="37" t="s">
        <v>32</v>
      </c>
      <c r="D28" s="38" t="s">
        <v>50</v>
      </c>
      <c r="E28" s="38" t="s">
        <v>28</v>
      </c>
      <c r="F28" s="38"/>
      <c r="G28" s="38"/>
      <c r="H28" s="38" t="s">
        <v>33</v>
      </c>
      <c r="I28" s="38" t="s">
        <v>21</v>
      </c>
      <c r="J28" s="37">
        <v>10</v>
      </c>
      <c r="K28" s="38" t="s">
        <v>35</v>
      </c>
      <c r="L28" s="37">
        <v>200</v>
      </c>
      <c r="M28" s="37">
        <v>400</v>
      </c>
      <c r="N28" s="37">
        <v>1500</v>
      </c>
      <c r="O28" s="37">
        <v>2000</v>
      </c>
      <c r="P28" s="38" t="s">
        <v>23</v>
      </c>
      <c r="Q28" s="37" t="s">
        <v>38</v>
      </c>
    </row>
    <row r="29" spans="1:17" ht="45">
      <c r="A29" s="37" t="s">
        <v>93</v>
      </c>
      <c r="B29" s="37" t="s">
        <v>94</v>
      </c>
      <c r="C29" s="37" t="s">
        <v>32</v>
      </c>
      <c r="D29" s="38"/>
      <c r="E29" s="38" t="s">
        <v>28</v>
      </c>
      <c r="F29" s="38"/>
      <c r="G29" s="38"/>
      <c r="H29" s="38" t="s">
        <v>51</v>
      </c>
      <c r="I29" s="38" t="s">
        <v>21</v>
      </c>
      <c r="J29" s="37">
        <v>10</v>
      </c>
      <c r="K29" s="38" t="s">
        <v>35</v>
      </c>
      <c r="L29" s="37">
        <v>200</v>
      </c>
      <c r="M29" s="37">
        <v>500</v>
      </c>
      <c r="N29" s="37">
        <v>1000</v>
      </c>
      <c r="O29" s="37">
        <v>5000</v>
      </c>
      <c r="P29" s="38" t="s">
        <v>23</v>
      </c>
      <c r="Q29" s="37" t="s">
        <v>24</v>
      </c>
    </row>
    <row r="30" spans="1:17" ht="45">
      <c r="A30" s="37" t="s">
        <v>95</v>
      </c>
      <c r="B30" s="37" t="s">
        <v>96</v>
      </c>
      <c r="C30" s="37" t="s">
        <v>49</v>
      </c>
      <c r="D30" s="38" t="s">
        <v>50</v>
      </c>
      <c r="E30" s="38" t="s">
        <v>28</v>
      </c>
      <c r="F30" s="38"/>
      <c r="G30" s="38"/>
      <c r="H30" s="38" t="s">
        <v>51</v>
      </c>
      <c r="I30" s="38" t="s">
        <v>21</v>
      </c>
      <c r="J30" s="37">
        <v>10</v>
      </c>
      <c r="K30" s="38" t="s">
        <v>35</v>
      </c>
      <c r="L30" s="37">
        <v>500</v>
      </c>
      <c r="M30" s="37">
        <v>1200</v>
      </c>
      <c r="N30" s="37">
        <v>1500</v>
      </c>
      <c r="O30" s="37">
        <v>3000</v>
      </c>
      <c r="P30" s="38" t="s">
        <v>23</v>
      </c>
      <c r="Q30" s="37" t="s">
        <v>24</v>
      </c>
    </row>
    <row r="31" spans="1:17" ht="45">
      <c r="A31" s="37" t="s">
        <v>97</v>
      </c>
      <c r="B31" s="37" t="s">
        <v>98</v>
      </c>
      <c r="C31" s="37" t="s">
        <v>32</v>
      </c>
      <c r="D31" s="38"/>
      <c r="E31" s="38"/>
      <c r="F31" s="38"/>
      <c r="G31" s="38" t="s">
        <v>19</v>
      </c>
      <c r="H31" s="38" t="s">
        <v>20</v>
      </c>
      <c r="I31" s="38" t="s">
        <v>21</v>
      </c>
      <c r="J31" s="37">
        <v>6</v>
      </c>
      <c r="K31" s="38" t="s">
        <v>22</v>
      </c>
      <c r="L31" s="37">
        <v>52</v>
      </c>
      <c r="M31" s="37">
        <v>150</v>
      </c>
      <c r="N31" s="37">
        <v>230</v>
      </c>
      <c r="O31" s="37">
        <v>300</v>
      </c>
      <c r="P31" s="38" t="s">
        <v>43</v>
      </c>
      <c r="Q31" s="37" t="s">
        <v>24</v>
      </c>
    </row>
    <row r="32" spans="1:17" ht="45">
      <c r="A32" s="37" t="s">
        <v>99</v>
      </c>
      <c r="B32" s="37" t="s">
        <v>100</v>
      </c>
      <c r="C32" s="37" t="s">
        <v>32</v>
      </c>
      <c r="D32" s="38"/>
      <c r="E32" s="38"/>
      <c r="F32" s="38"/>
      <c r="G32" s="38" t="s">
        <v>19</v>
      </c>
      <c r="H32" s="38" t="s">
        <v>20</v>
      </c>
      <c r="I32" s="38" t="s">
        <v>21</v>
      </c>
      <c r="J32" s="37">
        <v>10</v>
      </c>
      <c r="K32" s="38" t="s">
        <v>22</v>
      </c>
      <c r="L32" s="37">
        <v>200</v>
      </c>
      <c r="M32" s="37">
        <v>500</v>
      </c>
      <c r="N32" s="37">
        <v>800</v>
      </c>
      <c r="O32" s="37">
        <v>1500</v>
      </c>
      <c r="P32" s="38" t="s">
        <v>23</v>
      </c>
      <c r="Q32" s="37" t="s">
        <v>24</v>
      </c>
    </row>
    <row r="33" spans="1:17" ht="45">
      <c r="A33" s="37" t="s">
        <v>101</v>
      </c>
      <c r="B33" s="37" t="s">
        <v>102</v>
      </c>
      <c r="C33" s="37" t="s">
        <v>18</v>
      </c>
      <c r="D33" s="38"/>
      <c r="E33" s="38" t="s">
        <v>28</v>
      </c>
      <c r="F33" s="38"/>
      <c r="G33" s="38"/>
      <c r="H33" s="38" t="s">
        <v>20</v>
      </c>
      <c r="I33" s="38" t="s">
        <v>21</v>
      </c>
      <c r="J33" s="37">
        <v>4</v>
      </c>
      <c r="K33" s="38" t="s">
        <v>35</v>
      </c>
      <c r="L33" s="37">
        <v>500</v>
      </c>
      <c r="M33" s="37">
        <v>350</v>
      </c>
      <c r="N33" s="37">
        <v>1500</v>
      </c>
      <c r="O33" s="37">
        <v>3000</v>
      </c>
      <c r="P33" s="38" t="s">
        <v>43</v>
      </c>
      <c r="Q33" s="37" t="s">
        <v>24</v>
      </c>
    </row>
    <row r="34" spans="1:17" ht="60">
      <c r="A34" s="37" t="s">
        <v>103</v>
      </c>
      <c r="B34" s="37" t="s">
        <v>104</v>
      </c>
      <c r="C34" s="37" t="s">
        <v>32</v>
      </c>
      <c r="D34" s="38" t="s">
        <v>50</v>
      </c>
      <c r="E34" s="38" t="s">
        <v>28</v>
      </c>
      <c r="F34" s="38" t="s">
        <v>59</v>
      </c>
      <c r="G34" s="38"/>
      <c r="H34" s="38" t="s">
        <v>46</v>
      </c>
      <c r="I34" s="38" t="s">
        <v>21</v>
      </c>
      <c r="J34" s="37">
        <v>7</v>
      </c>
      <c r="K34" s="38" t="s">
        <v>35</v>
      </c>
      <c r="L34" s="37">
        <v>200</v>
      </c>
      <c r="M34" s="37">
        <v>500</v>
      </c>
      <c r="N34" s="37">
        <v>800</v>
      </c>
      <c r="O34" s="37">
        <v>1000</v>
      </c>
      <c r="P34" s="38" t="s">
        <v>23</v>
      </c>
      <c r="Q34" s="37" t="s">
        <v>24</v>
      </c>
    </row>
    <row r="35" spans="1:17" ht="45">
      <c r="A35" s="37" t="s">
        <v>105</v>
      </c>
      <c r="B35" s="37" t="s">
        <v>106</v>
      </c>
      <c r="C35" s="37" t="s">
        <v>49</v>
      </c>
      <c r="D35" s="38" t="s">
        <v>50</v>
      </c>
      <c r="E35" s="38" t="s">
        <v>28</v>
      </c>
      <c r="F35" s="38"/>
      <c r="G35" s="38"/>
      <c r="H35" s="38" t="s">
        <v>20</v>
      </c>
      <c r="I35" s="38" t="s">
        <v>21</v>
      </c>
      <c r="J35" s="37">
        <v>8</v>
      </c>
      <c r="K35" s="38" t="s">
        <v>22</v>
      </c>
      <c r="L35" s="37">
        <v>100</v>
      </c>
      <c r="M35" s="37">
        <v>200</v>
      </c>
      <c r="N35" s="37">
        <v>350</v>
      </c>
      <c r="O35" s="37">
        <v>500</v>
      </c>
      <c r="P35" s="38" t="s">
        <v>29</v>
      </c>
      <c r="Q35" s="37" t="s">
        <v>24</v>
      </c>
    </row>
    <row r="36" spans="1:17" ht="60">
      <c r="A36" s="37" t="s">
        <v>107</v>
      </c>
      <c r="B36" s="37" t="s">
        <v>108</v>
      </c>
      <c r="C36" s="37" t="s">
        <v>27</v>
      </c>
      <c r="D36" s="38" t="s">
        <v>50</v>
      </c>
      <c r="E36" s="38"/>
      <c r="F36" s="38"/>
      <c r="G36" s="38"/>
      <c r="H36" s="38" t="s">
        <v>46</v>
      </c>
      <c r="I36" s="38" t="s">
        <v>21</v>
      </c>
      <c r="J36" s="37">
        <v>6</v>
      </c>
      <c r="K36" s="38" t="s">
        <v>22</v>
      </c>
      <c r="L36" s="37">
        <v>350</v>
      </c>
      <c r="M36" s="37">
        <v>300</v>
      </c>
      <c r="N36" s="37">
        <v>1000</v>
      </c>
      <c r="O36" s="37">
        <v>1200</v>
      </c>
      <c r="P36" s="38" t="s">
        <v>23</v>
      </c>
      <c r="Q36" s="37" t="s">
        <v>24</v>
      </c>
    </row>
    <row r="37" spans="1:17" ht="45">
      <c r="A37" s="37" t="s">
        <v>109</v>
      </c>
      <c r="B37" s="37" t="s">
        <v>110</v>
      </c>
      <c r="C37" s="37" t="s">
        <v>18</v>
      </c>
      <c r="D37" s="38"/>
      <c r="E37" s="38" t="s">
        <v>28</v>
      </c>
      <c r="F37" s="38"/>
      <c r="G37" s="38"/>
      <c r="H37" s="38" t="s">
        <v>51</v>
      </c>
      <c r="I37" s="38" t="s">
        <v>21</v>
      </c>
      <c r="J37" s="37">
        <v>2</v>
      </c>
      <c r="K37" s="38" t="s">
        <v>35</v>
      </c>
      <c r="L37" s="37">
        <v>150</v>
      </c>
      <c r="M37" s="37">
        <v>400</v>
      </c>
      <c r="N37" s="37">
        <v>650</v>
      </c>
      <c r="O37" s="37">
        <v>1500</v>
      </c>
      <c r="P37" s="38" t="s">
        <v>43</v>
      </c>
      <c r="Q37" s="37" t="s">
        <v>38</v>
      </c>
    </row>
    <row r="38" spans="1:17" ht="45">
      <c r="A38" s="37" t="s">
        <v>111</v>
      </c>
      <c r="B38" s="37" t="s">
        <v>112</v>
      </c>
      <c r="C38" s="37" t="s">
        <v>32</v>
      </c>
      <c r="D38" s="38"/>
      <c r="E38" s="38" t="s">
        <v>28</v>
      </c>
      <c r="F38" s="38" t="s">
        <v>59</v>
      </c>
      <c r="G38" s="38"/>
      <c r="H38" s="38" t="s">
        <v>51</v>
      </c>
      <c r="I38" s="38" t="s">
        <v>113</v>
      </c>
      <c r="J38" s="37">
        <v>2</v>
      </c>
      <c r="K38" s="38" t="s">
        <v>35</v>
      </c>
      <c r="L38" s="37">
        <v>5</v>
      </c>
      <c r="M38" s="37">
        <v>5</v>
      </c>
      <c r="N38" s="37">
        <v>5</v>
      </c>
      <c r="O38" s="37">
        <v>5</v>
      </c>
      <c r="P38" s="38" t="s">
        <v>29</v>
      </c>
      <c r="Q38" s="37" t="s">
        <v>38</v>
      </c>
    </row>
    <row r="39" spans="1:17" ht="45">
      <c r="A39" s="37" t="s">
        <v>114</v>
      </c>
      <c r="B39" s="37" t="s">
        <v>115</v>
      </c>
      <c r="C39" s="37" t="s">
        <v>18</v>
      </c>
      <c r="D39" s="38"/>
      <c r="E39" s="38"/>
      <c r="F39" s="38"/>
      <c r="G39" s="38" t="s">
        <v>19</v>
      </c>
      <c r="H39" s="38" t="s">
        <v>51</v>
      </c>
      <c r="I39" s="38" t="s">
        <v>70</v>
      </c>
      <c r="J39" s="37">
        <v>7</v>
      </c>
      <c r="K39" s="38" t="s">
        <v>35</v>
      </c>
      <c r="L39" s="37">
        <v>200</v>
      </c>
      <c r="M39" s="37">
        <v>200</v>
      </c>
      <c r="N39" s="37">
        <v>300</v>
      </c>
      <c r="O39" s="37">
        <v>1000</v>
      </c>
      <c r="P39" s="38" t="s">
        <v>29</v>
      </c>
      <c r="Q39" s="37" t="s">
        <v>38</v>
      </c>
    </row>
    <row r="40" spans="1:17" ht="45">
      <c r="A40" s="37" t="s">
        <v>116</v>
      </c>
      <c r="B40" s="37" t="s">
        <v>117</v>
      </c>
      <c r="C40" s="37" t="s">
        <v>18</v>
      </c>
      <c r="D40" s="38"/>
      <c r="E40" s="38"/>
      <c r="F40" s="38"/>
      <c r="G40" s="38" t="s">
        <v>19</v>
      </c>
      <c r="H40" s="38" t="s">
        <v>51</v>
      </c>
      <c r="I40" s="38" t="s">
        <v>70</v>
      </c>
      <c r="J40" s="37">
        <v>7</v>
      </c>
      <c r="K40" s="38" t="s">
        <v>35</v>
      </c>
      <c r="L40" s="37">
        <v>200</v>
      </c>
      <c r="M40" s="37">
        <v>200</v>
      </c>
      <c r="N40" s="37">
        <v>300</v>
      </c>
      <c r="O40" s="37">
        <v>1000</v>
      </c>
      <c r="P40" s="38" t="s">
        <v>29</v>
      </c>
      <c r="Q40" s="37" t="s">
        <v>38</v>
      </c>
    </row>
    <row r="41" spans="1:17" ht="45">
      <c r="A41" s="37" t="s">
        <v>118</v>
      </c>
      <c r="B41" s="37" t="s">
        <v>119</v>
      </c>
      <c r="C41" s="37" t="s">
        <v>18</v>
      </c>
      <c r="D41" s="38"/>
      <c r="E41" s="38"/>
      <c r="F41" s="38"/>
      <c r="G41" s="38" t="s">
        <v>19</v>
      </c>
      <c r="H41" s="38" t="s">
        <v>51</v>
      </c>
      <c r="I41" s="38" t="s">
        <v>70</v>
      </c>
      <c r="J41" s="37">
        <v>7</v>
      </c>
      <c r="K41" s="38" t="s">
        <v>35</v>
      </c>
      <c r="L41" s="37">
        <v>200</v>
      </c>
      <c r="M41" s="37">
        <v>200</v>
      </c>
      <c r="N41" s="37">
        <v>300</v>
      </c>
      <c r="O41" s="37">
        <v>1000</v>
      </c>
      <c r="P41" s="38" t="s">
        <v>29</v>
      </c>
      <c r="Q41" s="37" t="s">
        <v>38</v>
      </c>
    </row>
    <row r="42" spans="1:17" ht="45">
      <c r="A42" s="37" t="s">
        <v>120</v>
      </c>
      <c r="B42" s="37" t="s">
        <v>121</v>
      </c>
      <c r="C42" s="37" t="s">
        <v>18</v>
      </c>
      <c r="D42" s="38"/>
      <c r="E42" s="38"/>
      <c r="F42" s="38"/>
      <c r="G42" s="38" t="s">
        <v>19</v>
      </c>
      <c r="H42" s="38" t="s">
        <v>51</v>
      </c>
      <c r="I42" s="38" t="s">
        <v>70</v>
      </c>
      <c r="J42" s="37">
        <v>7</v>
      </c>
      <c r="K42" s="38" t="s">
        <v>35</v>
      </c>
      <c r="L42" s="37">
        <v>200</v>
      </c>
      <c r="M42" s="37">
        <v>200</v>
      </c>
      <c r="N42" s="37">
        <v>300</v>
      </c>
      <c r="O42" s="37">
        <v>1000</v>
      </c>
      <c r="P42" s="38" t="s">
        <v>29</v>
      </c>
      <c r="Q42" s="37" t="s">
        <v>38</v>
      </c>
    </row>
    <row r="43" spans="1:17" ht="45">
      <c r="A43" s="37" t="s">
        <v>122</v>
      </c>
      <c r="B43" s="37" t="s">
        <v>123</v>
      </c>
      <c r="C43" s="37" t="s">
        <v>18</v>
      </c>
      <c r="D43" s="38"/>
      <c r="E43" s="38"/>
      <c r="F43" s="38"/>
      <c r="G43" s="38" t="s">
        <v>19</v>
      </c>
      <c r="H43" s="38" t="s">
        <v>51</v>
      </c>
      <c r="I43" s="38" t="s">
        <v>70</v>
      </c>
      <c r="J43" s="37">
        <v>7</v>
      </c>
      <c r="K43" s="38" t="s">
        <v>35</v>
      </c>
      <c r="L43" s="37">
        <v>200</v>
      </c>
      <c r="M43" s="37">
        <v>200</v>
      </c>
      <c r="N43" s="37">
        <v>300</v>
      </c>
      <c r="O43" s="37">
        <v>1000</v>
      </c>
      <c r="P43" s="38" t="s">
        <v>29</v>
      </c>
      <c r="Q43" s="37" t="s">
        <v>38</v>
      </c>
    </row>
    <row r="44" spans="1:17" ht="45">
      <c r="A44" s="37" t="s">
        <v>124</v>
      </c>
      <c r="B44" s="37" t="s">
        <v>125</v>
      </c>
      <c r="C44" s="37" t="s">
        <v>18</v>
      </c>
      <c r="D44" s="38"/>
      <c r="E44" s="38"/>
      <c r="F44" s="38"/>
      <c r="G44" s="38" t="s">
        <v>19</v>
      </c>
      <c r="H44" s="38" t="s">
        <v>51</v>
      </c>
      <c r="I44" s="38" t="s">
        <v>70</v>
      </c>
      <c r="J44" s="37">
        <v>7</v>
      </c>
      <c r="K44" s="38" t="s">
        <v>35</v>
      </c>
      <c r="L44" s="37">
        <v>200</v>
      </c>
      <c r="M44" s="37">
        <v>200</v>
      </c>
      <c r="N44" s="37">
        <v>300</v>
      </c>
      <c r="O44" s="37">
        <v>1000</v>
      </c>
      <c r="P44" s="38" t="s">
        <v>29</v>
      </c>
      <c r="Q44" s="37" t="s">
        <v>38</v>
      </c>
    </row>
    <row r="45" spans="1:17" ht="45">
      <c r="A45" s="37" t="s">
        <v>126</v>
      </c>
      <c r="B45" s="37" t="s">
        <v>127</v>
      </c>
      <c r="C45" s="37" t="s">
        <v>18</v>
      </c>
      <c r="D45" s="38"/>
      <c r="E45" s="38"/>
      <c r="F45" s="38"/>
      <c r="G45" s="38" t="s">
        <v>19</v>
      </c>
      <c r="H45" s="38" t="s">
        <v>51</v>
      </c>
      <c r="I45" s="38" t="s">
        <v>70</v>
      </c>
      <c r="J45" s="37">
        <v>7</v>
      </c>
      <c r="K45" s="38" t="s">
        <v>35</v>
      </c>
      <c r="L45" s="37">
        <v>200</v>
      </c>
      <c r="M45" s="37">
        <v>200</v>
      </c>
      <c r="N45" s="37">
        <v>300</v>
      </c>
      <c r="O45" s="37">
        <v>1000</v>
      </c>
      <c r="P45" s="38" t="s">
        <v>29</v>
      </c>
      <c r="Q45" s="37" t="s">
        <v>38</v>
      </c>
    </row>
    <row r="46" spans="1:17" ht="45">
      <c r="A46" s="37" t="s">
        <v>128</v>
      </c>
      <c r="B46" s="37" t="s">
        <v>129</v>
      </c>
      <c r="C46" s="37" t="s">
        <v>18</v>
      </c>
      <c r="D46" s="38"/>
      <c r="E46" s="38"/>
      <c r="F46" s="38"/>
      <c r="G46" s="38" t="s">
        <v>19</v>
      </c>
      <c r="H46" s="38" t="s">
        <v>51</v>
      </c>
      <c r="I46" s="38" t="s">
        <v>70</v>
      </c>
      <c r="J46" s="37">
        <v>7</v>
      </c>
      <c r="K46" s="38" t="s">
        <v>35</v>
      </c>
      <c r="L46" s="37">
        <v>200</v>
      </c>
      <c r="M46" s="37">
        <v>200</v>
      </c>
      <c r="N46" s="37">
        <v>300</v>
      </c>
      <c r="O46" s="37">
        <v>1000</v>
      </c>
      <c r="P46" s="38" t="s">
        <v>29</v>
      </c>
      <c r="Q46" s="37" t="s">
        <v>38</v>
      </c>
    </row>
    <row r="47" spans="1:17" ht="45">
      <c r="A47" s="37" t="s">
        <v>130</v>
      </c>
      <c r="B47" s="37" t="s">
        <v>131</v>
      </c>
      <c r="C47" s="37" t="s">
        <v>18</v>
      </c>
      <c r="D47" s="38"/>
      <c r="E47" s="38"/>
      <c r="F47" s="38"/>
      <c r="G47" s="38" t="s">
        <v>19</v>
      </c>
      <c r="H47" s="38" t="s">
        <v>51</v>
      </c>
      <c r="I47" s="38" t="s">
        <v>70</v>
      </c>
      <c r="J47" s="37">
        <v>7</v>
      </c>
      <c r="K47" s="38" t="s">
        <v>35</v>
      </c>
      <c r="L47" s="37">
        <v>200</v>
      </c>
      <c r="M47" s="37">
        <v>200</v>
      </c>
      <c r="N47" s="37">
        <v>300</v>
      </c>
      <c r="O47" s="37">
        <v>1000</v>
      </c>
      <c r="P47" s="38" t="s">
        <v>29</v>
      </c>
      <c r="Q47" s="37" t="s">
        <v>38</v>
      </c>
    </row>
    <row r="48" spans="1:17" ht="45">
      <c r="A48" s="37" t="s">
        <v>132</v>
      </c>
      <c r="B48" s="37" t="s">
        <v>133</v>
      </c>
      <c r="C48" s="37" t="s">
        <v>18</v>
      </c>
      <c r="D48" s="38"/>
      <c r="E48" s="38"/>
      <c r="F48" s="38"/>
      <c r="G48" s="38" t="s">
        <v>19</v>
      </c>
      <c r="H48" s="38" t="s">
        <v>51</v>
      </c>
      <c r="I48" s="38" t="s">
        <v>70</v>
      </c>
      <c r="J48" s="37">
        <v>7</v>
      </c>
      <c r="K48" s="38" t="s">
        <v>35</v>
      </c>
      <c r="L48" s="37">
        <v>200</v>
      </c>
      <c r="M48" s="37">
        <v>200</v>
      </c>
      <c r="N48" s="37">
        <v>300</v>
      </c>
      <c r="O48" s="37">
        <v>1000</v>
      </c>
      <c r="P48" s="38" t="s">
        <v>29</v>
      </c>
      <c r="Q48" s="37" t="s">
        <v>38</v>
      </c>
    </row>
    <row r="49" spans="1:17" ht="45">
      <c r="A49" s="37" t="s">
        <v>134</v>
      </c>
      <c r="B49" s="37" t="s">
        <v>135</v>
      </c>
      <c r="C49" s="37" t="s">
        <v>18</v>
      </c>
      <c r="D49" s="38"/>
      <c r="E49" s="38"/>
      <c r="F49" s="38"/>
      <c r="G49" s="38" t="s">
        <v>19</v>
      </c>
      <c r="H49" s="38" t="s">
        <v>51</v>
      </c>
      <c r="I49" s="38" t="s">
        <v>70</v>
      </c>
      <c r="J49" s="37">
        <v>7</v>
      </c>
      <c r="K49" s="38" t="s">
        <v>35</v>
      </c>
      <c r="L49" s="37">
        <v>200</v>
      </c>
      <c r="M49" s="37">
        <v>200</v>
      </c>
      <c r="N49" s="37">
        <v>300</v>
      </c>
      <c r="O49" s="37">
        <v>1000</v>
      </c>
      <c r="P49" s="38" t="s">
        <v>29</v>
      </c>
      <c r="Q49" s="37" t="s">
        <v>38</v>
      </c>
    </row>
    <row r="50" spans="1:17" ht="45">
      <c r="A50" s="37" t="s">
        <v>136</v>
      </c>
      <c r="B50" s="37" t="s">
        <v>137</v>
      </c>
      <c r="C50" s="37" t="s">
        <v>18</v>
      </c>
      <c r="D50" s="38"/>
      <c r="E50" s="38"/>
      <c r="F50" s="38"/>
      <c r="G50" s="38" t="s">
        <v>19</v>
      </c>
      <c r="H50" s="38" t="s">
        <v>51</v>
      </c>
      <c r="I50" s="38" t="s">
        <v>70</v>
      </c>
      <c r="J50" s="37">
        <v>7</v>
      </c>
      <c r="K50" s="38" t="s">
        <v>35</v>
      </c>
      <c r="L50" s="37">
        <v>500</v>
      </c>
      <c r="M50" s="37">
        <v>1000</v>
      </c>
      <c r="N50" s="37">
        <v>300</v>
      </c>
      <c r="O50" s="37">
        <v>1000</v>
      </c>
      <c r="P50" s="38" t="s">
        <v>29</v>
      </c>
      <c r="Q50" s="37" t="s">
        <v>38</v>
      </c>
    </row>
    <row r="51" spans="1:17" ht="45">
      <c r="A51" s="37" t="s">
        <v>138</v>
      </c>
      <c r="B51" s="37" t="s">
        <v>139</v>
      </c>
      <c r="C51" s="37" t="s">
        <v>18</v>
      </c>
      <c r="D51" s="38"/>
      <c r="E51" s="38"/>
      <c r="F51" s="38"/>
      <c r="G51" s="38" t="s">
        <v>19</v>
      </c>
      <c r="H51" s="38" t="s">
        <v>51</v>
      </c>
      <c r="I51" s="38" t="s">
        <v>70</v>
      </c>
      <c r="J51" s="37">
        <v>7</v>
      </c>
      <c r="K51" s="38" t="s">
        <v>35</v>
      </c>
      <c r="L51" s="37">
        <v>500</v>
      </c>
      <c r="M51" s="37">
        <v>1000</v>
      </c>
      <c r="N51" s="37">
        <v>300</v>
      </c>
      <c r="O51" s="37">
        <v>1000</v>
      </c>
      <c r="P51" s="38" t="s">
        <v>29</v>
      </c>
      <c r="Q51" s="37" t="s">
        <v>38</v>
      </c>
    </row>
    <row r="52" spans="1:17" ht="45">
      <c r="A52" s="37" t="s">
        <v>140</v>
      </c>
      <c r="B52" s="37" t="s">
        <v>141</v>
      </c>
      <c r="C52" s="37" t="s">
        <v>18</v>
      </c>
      <c r="D52" s="38"/>
      <c r="E52" s="38"/>
      <c r="F52" s="38"/>
      <c r="G52" s="38" t="s">
        <v>19</v>
      </c>
      <c r="H52" s="38" t="s">
        <v>51</v>
      </c>
      <c r="I52" s="38" t="s">
        <v>70</v>
      </c>
      <c r="J52" s="37">
        <v>7</v>
      </c>
      <c r="K52" s="38" t="s">
        <v>35</v>
      </c>
      <c r="L52" s="37">
        <v>500</v>
      </c>
      <c r="M52" s="37">
        <v>1000</v>
      </c>
      <c r="N52" s="37">
        <v>300</v>
      </c>
      <c r="O52" s="37">
        <v>1000</v>
      </c>
      <c r="P52" s="38" t="s">
        <v>29</v>
      </c>
      <c r="Q52" s="37" t="s">
        <v>38</v>
      </c>
    </row>
    <row r="53" spans="1:17" ht="45">
      <c r="A53" s="37" t="s">
        <v>142</v>
      </c>
      <c r="B53" s="37" t="s">
        <v>143</v>
      </c>
      <c r="C53" s="37" t="s">
        <v>18</v>
      </c>
      <c r="D53" s="38"/>
      <c r="E53" s="38"/>
      <c r="F53" s="38"/>
      <c r="G53" s="38" t="s">
        <v>19</v>
      </c>
      <c r="H53" s="38" t="s">
        <v>51</v>
      </c>
      <c r="I53" s="38" t="s">
        <v>70</v>
      </c>
      <c r="J53" s="37">
        <v>7</v>
      </c>
      <c r="K53" s="38" t="s">
        <v>35</v>
      </c>
      <c r="L53" s="37">
        <v>500</v>
      </c>
      <c r="M53" s="37">
        <v>1000</v>
      </c>
      <c r="N53" s="37">
        <v>300</v>
      </c>
      <c r="O53" s="37">
        <v>1000</v>
      </c>
      <c r="P53" s="38" t="s">
        <v>29</v>
      </c>
      <c r="Q53" s="37" t="s">
        <v>38</v>
      </c>
    </row>
    <row r="54" spans="1:17" ht="45">
      <c r="A54" s="37" t="s">
        <v>144</v>
      </c>
      <c r="B54" s="37" t="s">
        <v>145</v>
      </c>
      <c r="C54" s="37" t="s">
        <v>18</v>
      </c>
      <c r="D54" s="38"/>
      <c r="E54" s="38"/>
      <c r="F54" s="38"/>
      <c r="G54" s="38" t="s">
        <v>19</v>
      </c>
      <c r="H54" s="38" t="s">
        <v>51</v>
      </c>
      <c r="I54" s="38" t="s">
        <v>70</v>
      </c>
      <c r="J54" s="37">
        <v>7</v>
      </c>
      <c r="K54" s="38" t="s">
        <v>35</v>
      </c>
      <c r="L54" s="37">
        <v>500</v>
      </c>
      <c r="M54" s="37">
        <v>1000</v>
      </c>
      <c r="N54" s="37">
        <v>300</v>
      </c>
      <c r="O54" s="37">
        <v>1000</v>
      </c>
      <c r="P54" s="38" t="s">
        <v>29</v>
      </c>
      <c r="Q54" s="37" t="s">
        <v>38</v>
      </c>
    </row>
    <row r="55" spans="1:17" ht="45">
      <c r="A55" s="37" t="s">
        <v>146</v>
      </c>
      <c r="B55" s="37" t="s">
        <v>147</v>
      </c>
      <c r="C55" s="37" t="s">
        <v>18</v>
      </c>
      <c r="D55" s="38"/>
      <c r="E55" s="38"/>
      <c r="F55" s="38"/>
      <c r="G55" s="38" t="s">
        <v>19</v>
      </c>
      <c r="H55" s="38" t="s">
        <v>51</v>
      </c>
      <c r="I55" s="38" t="s">
        <v>70</v>
      </c>
      <c r="J55" s="37">
        <v>7</v>
      </c>
      <c r="K55" s="38" t="s">
        <v>35</v>
      </c>
      <c r="L55" s="37">
        <v>500</v>
      </c>
      <c r="M55" s="37">
        <v>1000</v>
      </c>
      <c r="N55" s="37">
        <v>300</v>
      </c>
      <c r="O55" s="37">
        <v>1000</v>
      </c>
      <c r="P55" s="38" t="s">
        <v>29</v>
      </c>
      <c r="Q55" s="37" t="s">
        <v>38</v>
      </c>
    </row>
    <row r="56" spans="1:17" ht="45">
      <c r="A56" s="37" t="s">
        <v>148</v>
      </c>
      <c r="B56" s="37" t="s">
        <v>149</v>
      </c>
      <c r="C56" s="37" t="s">
        <v>18</v>
      </c>
      <c r="D56" s="38"/>
      <c r="E56" s="38"/>
      <c r="F56" s="38"/>
      <c r="G56" s="38" t="s">
        <v>19</v>
      </c>
      <c r="H56" s="38" t="s">
        <v>51</v>
      </c>
      <c r="I56" s="38" t="s">
        <v>70</v>
      </c>
      <c r="J56" s="37">
        <v>7</v>
      </c>
      <c r="K56" s="38" t="s">
        <v>35</v>
      </c>
      <c r="L56" s="37">
        <v>500</v>
      </c>
      <c r="M56" s="37">
        <v>1000</v>
      </c>
      <c r="N56" s="37">
        <v>300</v>
      </c>
      <c r="O56" s="37">
        <v>1000</v>
      </c>
      <c r="P56" s="38" t="s">
        <v>29</v>
      </c>
      <c r="Q56" s="37" t="s">
        <v>38</v>
      </c>
    </row>
    <row r="57" spans="1:17" ht="45">
      <c r="A57" s="37" t="s">
        <v>150</v>
      </c>
      <c r="B57" s="37" t="s">
        <v>151</v>
      </c>
      <c r="C57" s="37" t="s">
        <v>18</v>
      </c>
      <c r="D57" s="38"/>
      <c r="E57" s="38"/>
      <c r="F57" s="38"/>
      <c r="G57" s="38" t="s">
        <v>19</v>
      </c>
      <c r="H57" s="38" t="s">
        <v>51</v>
      </c>
      <c r="I57" s="38" t="s">
        <v>70</v>
      </c>
      <c r="J57" s="37">
        <v>7</v>
      </c>
      <c r="K57" s="38" t="s">
        <v>35</v>
      </c>
      <c r="L57" s="37">
        <v>500</v>
      </c>
      <c r="M57" s="37">
        <v>1000</v>
      </c>
      <c r="N57" s="37">
        <v>300</v>
      </c>
      <c r="O57" s="37">
        <v>1000</v>
      </c>
      <c r="P57" s="38" t="s">
        <v>29</v>
      </c>
      <c r="Q57" s="37" t="s">
        <v>38</v>
      </c>
    </row>
    <row r="58" spans="1:17" ht="45">
      <c r="A58" s="37" t="s">
        <v>152</v>
      </c>
      <c r="B58" s="37" t="s">
        <v>153</v>
      </c>
      <c r="C58" s="37" t="s">
        <v>18</v>
      </c>
      <c r="D58" s="38"/>
      <c r="E58" s="38"/>
      <c r="F58" s="38"/>
      <c r="G58" s="38" t="s">
        <v>19</v>
      </c>
      <c r="H58" s="38" t="s">
        <v>51</v>
      </c>
      <c r="I58" s="38" t="s">
        <v>70</v>
      </c>
      <c r="J58" s="37">
        <v>7</v>
      </c>
      <c r="K58" s="38" t="s">
        <v>35</v>
      </c>
      <c r="L58" s="37">
        <v>500</v>
      </c>
      <c r="M58" s="37">
        <v>1000</v>
      </c>
      <c r="N58" s="37">
        <v>300</v>
      </c>
      <c r="O58" s="37">
        <v>1000</v>
      </c>
      <c r="P58" s="38" t="s">
        <v>29</v>
      </c>
      <c r="Q58" s="37" t="s">
        <v>38</v>
      </c>
    </row>
    <row r="59" spans="1:17" ht="45">
      <c r="A59" s="37" t="s">
        <v>154</v>
      </c>
      <c r="B59" s="37" t="s">
        <v>155</v>
      </c>
      <c r="C59" s="37" t="s">
        <v>18</v>
      </c>
      <c r="D59" s="38"/>
      <c r="E59" s="38"/>
      <c r="F59" s="38"/>
      <c r="G59" s="38" t="s">
        <v>19</v>
      </c>
      <c r="H59" s="38" t="s">
        <v>51</v>
      </c>
      <c r="I59" s="38" t="s">
        <v>70</v>
      </c>
      <c r="J59" s="37">
        <v>7</v>
      </c>
      <c r="K59" s="38" t="s">
        <v>35</v>
      </c>
      <c r="L59" s="37">
        <v>500</v>
      </c>
      <c r="M59" s="37">
        <v>1000</v>
      </c>
      <c r="N59" s="37">
        <v>300</v>
      </c>
      <c r="O59" s="37">
        <v>1000</v>
      </c>
      <c r="P59" s="38" t="s">
        <v>29</v>
      </c>
      <c r="Q59" s="37" t="s">
        <v>38</v>
      </c>
    </row>
    <row r="60" spans="1:17" ht="45">
      <c r="A60" s="37" t="s">
        <v>156</v>
      </c>
      <c r="B60" s="37" t="s">
        <v>157</v>
      </c>
      <c r="C60" s="37" t="s">
        <v>18</v>
      </c>
      <c r="D60" s="38"/>
      <c r="E60" s="38"/>
      <c r="F60" s="38"/>
      <c r="G60" s="38" t="s">
        <v>19</v>
      </c>
      <c r="H60" s="38" t="s">
        <v>51</v>
      </c>
      <c r="I60" s="38" t="s">
        <v>70</v>
      </c>
      <c r="J60" s="37">
        <v>7</v>
      </c>
      <c r="K60" s="38" t="s">
        <v>35</v>
      </c>
      <c r="L60" s="37">
        <v>500</v>
      </c>
      <c r="M60" s="37">
        <v>1000</v>
      </c>
      <c r="N60" s="37">
        <v>300</v>
      </c>
      <c r="O60" s="37">
        <v>1000</v>
      </c>
      <c r="P60" s="38" t="s">
        <v>29</v>
      </c>
      <c r="Q60" s="37" t="s">
        <v>38</v>
      </c>
    </row>
    <row r="61" spans="1:17" ht="45">
      <c r="A61" s="37" t="s">
        <v>158</v>
      </c>
      <c r="B61" s="37" t="s">
        <v>159</v>
      </c>
      <c r="C61" s="37" t="s">
        <v>18</v>
      </c>
      <c r="D61" s="38"/>
      <c r="E61" s="38"/>
      <c r="F61" s="38"/>
      <c r="G61" s="38" t="s">
        <v>19</v>
      </c>
      <c r="H61" s="38" t="s">
        <v>51</v>
      </c>
      <c r="I61" s="38" t="s">
        <v>70</v>
      </c>
      <c r="J61" s="37">
        <v>7</v>
      </c>
      <c r="K61" s="38" t="s">
        <v>35</v>
      </c>
      <c r="L61" s="37">
        <v>500</v>
      </c>
      <c r="M61" s="37">
        <v>1000</v>
      </c>
      <c r="N61" s="37">
        <v>300</v>
      </c>
      <c r="O61" s="37">
        <v>1000</v>
      </c>
      <c r="P61" s="38" t="s">
        <v>29</v>
      </c>
      <c r="Q61" s="37" t="s">
        <v>38</v>
      </c>
    </row>
    <row r="62" spans="1:17" ht="45">
      <c r="A62" s="37" t="s">
        <v>160</v>
      </c>
      <c r="B62" s="37" t="s">
        <v>161</v>
      </c>
      <c r="C62" s="37" t="s">
        <v>18</v>
      </c>
      <c r="D62" s="38"/>
      <c r="E62" s="38"/>
      <c r="F62" s="38"/>
      <c r="G62" s="38" t="s">
        <v>19</v>
      </c>
      <c r="H62" s="38" t="s">
        <v>51</v>
      </c>
      <c r="I62" s="38" t="s">
        <v>70</v>
      </c>
      <c r="J62" s="37">
        <v>7</v>
      </c>
      <c r="K62" s="38" t="s">
        <v>35</v>
      </c>
      <c r="L62" s="37">
        <v>500</v>
      </c>
      <c r="M62" s="37">
        <v>1000</v>
      </c>
      <c r="N62" s="37">
        <v>300</v>
      </c>
      <c r="O62" s="37">
        <v>1000</v>
      </c>
      <c r="P62" s="38" t="s">
        <v>29</v>
      </c>
      <c r="Q62" s="37" t="s">
        <v>38</v>
      </c>
    </row>
    <row r="63" spans="1:17" ht="45">
      <c r="A63" s="37" t="s">
        <v>162</v>
      </c>
      <c r="B63" s="37" t="s">
        <v>163</v>
      </c>
      <c r="C63" s="37" t="s">
        <v>18</v>
      </c>
      <c r="D63" s="38"/>
      <c r="E63" s="38"/>
      <c r="F63" s="38"/>
      <c r="G63" s="38" t="s">
        <v>19</v>
      </c>
      <c r="H63" s="38" t="s">
        <v>51</v>
      </c>
      <c r="I63" s="38" t="s">
        <v>70</v>
      </c>
      <c r="J63" s="37">
        <v>7</v>
      </c>
      <c r="K63" s="38" t="s">
        <v>35</v>
      </c>
      <c r="L63" s="37">
        <v>500</v>
      </c>
      <c r="M63" s="37">
        <v>1000</v>
      </c>
      <c r="N63" s="37">
        <v>300</v>
      </c>
      <c r="O63" s="37">
        <v>1000</v>
      </c>
      <c r="P63" s="38" t="s">
        <v>29</v>
      </c>
      <c r="Q63" s="37" t="s">
        <v>38</v>
      </c>
    </row>
    <row r="64" spans="1:17" ht="45">
      <c r="A64" s="37" t="s">
        <v>164</v>
      </c>
      <c r="B64" s="37" t="s">
        <v>165</v>
      </c>
      <c r="C64" s="37" t="s">
        <v>18</v>
      </c>
      <c r="D64" s="38"/>
      <c r="E64" s="38"/>
      <c r="F64" s="38"/>
      <c r="G64" s="38" t="s">
        <v>19</v>
      </c>
      <c r="H64" s="38" t="s">
        <v>51</v>
      </c>
      <c r="I64" s="38" t="s">
        <v>70</v>
      </c>
      <c r="J64" s="37">
        <v>7</v>
      </c>
      <c r="K64" s="38" t="s">
        <v>35</v>
      </c>
      <c r="L64" s="37">
        <v>500</v>
      </c>
      <c r="M64" s="37">
        <v>1000</v>
      </c>
      <c r="N64" s="37">
        <v>300</v>
      </c>
      <c r="O64" s="37">
        <v>1000</v>
      </c>
      <c r="P64" s="38" t="s">
        <v>29</v>
      </c>
      <c r="Q64" s="37" t="s">
        <v>38</v>
      </c>
    </row>
    <row r="65" spans="1:17" ht="45">
      <c r="A65" s="37" t="s">
        <v>166</v>
      </c>
      <c r="B65" s="37" t="s">
        <v>167</v>
      </c>
      <c r="C65" s="37" t="s">
        <v>32</v>
      </c>
      <c r="D65" s="38"/>
      <c r="E65" s="38"/>
      <c r="F65" s="38"/>
      <c r="G65" s="38" t="s">
        <v>19</v>
      </c>
      <c r="H65" s="38" t="s">
        <v>51</v>
      </c>
      <c r="I65" s="38" t="s">
        <v>21</v>
      </c>
      <c r="J65" s="37">
        <v>9</v>
      </c>
      <c r="K65" s="38" t="s">
        <v>35</v>
      </c>
      <c r="L65" s="37">
        <v>150</v>
      </c>
      <c r="M65" s="37">
        <v>300</v>
      </c>
      <c r="N65" s="37">
        <v>400</v>
      </c>
      <c r="O65" s="37">
        <v>500</v>
      </c>
      <c r="P65" s="38" t="s">
        <v>29</v>
      </c>
      <c r="Q65" s="37" t="s">
        <v>38</v>
      </c>
    </row>
    <row r="66" spans="1:17" ht="60">
      <c r="A66" s="37" t="s">
        <v>168</v>
      </c>
      <c r="B66" s="37" t="s">
        <v>169</v>
      </c>
      <c r="C66" s="37" t="s">
        <v>32</v>
      </c>
      <c r="D66" s="38" t="s">
        <v>50</v>
      </c>
      <c r="E66" s="38" t="s">
        <v>28</v>
      </c>
      <c r="F66" s="38"/>
      <c r="G66" s="38"/>
      <c r="H66" s="38" t="s">
        <v>33</v>
      </c>
      <c r="I66" s="38" t="s">
        <v>21</v>
      </c>
      <c r="J66" s="37">
        <v>5</v>
      </c>
      <c r="K66" s="38" t="s">
        <v>22</v>
      </c>
      <c r="L66" s="37">
        <v>100</v>
      </c>
      <c r="M66" s="37">
        <v>400</v>
      </c>
      <c r="N66" s="37">
        <v>600</v>
      </c>
      <c r="O66" s="37">
        <v>1000</v>
      </c>
      <c r="P66" s="38" t="s">
        <v>29</v>
      </c>
      <c r="Q66" s="37" t="s">
        <v>38</v>
      </c>
    </row>
    <row r="67" spans="1:17" ht="60">
      <c r="A67" s="37" t="s">
        <v>170</v>
      </c>
      <c r="B67" s="37" t="s">
        <v>171</v>
      </c>
      <c r="C67" s="37" t="s">
        <v>49</v>
      </c>
      <c r="D67" s="38" t="s">
        <v>50</v>
      </c>
      <c r="E67" s="38" t="s">
        <v>28</v>
      </c>
      <c r="F67" s="38" t="s">
        <v>59</v>
      </c>
      <c r="G67" s="38"/>
      <c r="H67" s="38" t="s">
        <v>46</v>
      </c>
      <c r="I67" s="38" t="s">
        <v>21</v>
      </c>
      <c r="J67" s="37">
        <v>10</v>
      </c>
      <c r="K67" s="38" t="s">
        <v>22</v>
      </c>
      <c r="L67" s="37">
        <v>300</v>
      </c>
      <c r="M67" s="37">
        <v>500</v>
      </c>
      <c r="N67" s="37">
        <v>900</v>
      </c>
      <c r="O67" s="37">
        <v>1000</v>
      </c>
      <c r="P67" s="38" t="s">
        <v>23</v>
      </c>
      <c r="Q67" s="37" t="s">
        <v>38</v>
      </c>
    </row>
    <row r="68" spans="1:17" ht="45">
      <c r="A68" s="37" t="s">
        <v>172</v>
      </c>
      <c r="B68" s="37" t="s">
        <v>173</v>
      </c>
      <c r="C68" s="37" t="s">
        <v>32</v>
      </c>
      <c r="D68" s="38"/>
      <c r="E68" s="38"/>
      <c r="F68" s="38"/>
      <c r="G68" s="38" t="s">
        <v>19</v>
      </c>
      <c r="H68" s="38" t="s">
        <v>20</v>
      </c>
      <c r="I68" s="38" t="s">
        <v>21</v>
      </c>
      <c r="J68" s="37">
        <v>2</v>
      </c>
      <c r="K68" s="38" t="s">
        <v>35</v>
      </c>
      <c r="L68" s="37">
        <v>100</v>
      </c>
      <c r="M68" s="37">
        <v>500</v>
      </c>
      <c r="N68" s="37">
        <v>1000</v>
      </c>
      <c r="O68" s="37">
        <v>1500</v>
      </c>
      <c r="P68" s="38" t="s">
        <v>29</v>
      </c>
      <c r="Q68" s="37" t="s">
        <v>38</v>
      </c>
    </row>
    <row r="69" spans="1:17" ht="60">
      <c r="A69" s="37" t="s">
        <v>174</v>
      </c>
      <c r="B69" s="37" t="s">
        <v>175</v>
      </c>
      <c r="C69" s="37" t="s">
        <v>32</v>
      </c>
      <c r="D69" s="38" t="s">
        <v>50</v>
      </c>
      <c r="E69" s="38" t="s">
        <v>28</v>
      </c>
      <c r="F69" s="38"/>
      <c r="G69" s="38"/>
      <c r="H69" s="38" t="s">
        <v>46</v>
      </c>
      <c r="I69" s="38" t="s">
        <v>21</v>
      </c>
      <c r="J69" s="37">
        <v>9</v>
      </c>
      <c r="K69" s="38" t="s">
        <v>35</v>
      </c>
      <c r="L69" s="37">
        <v>250</v>
      </c>
      <c r="M69" s="37">
        <v>300</v>
      </c>
      <c r="N69" s="37">
        <v>500</v>
      </c>
      <c r="O69" s="37">
        <v>600</v>
      </c>
      <c r="P69" s="38" t="s">
        <v>23</v>
      </c>
      <c r="Q69" s="37" t="s">
        <v>38</v>
      </c>
    </row>
    <row r="70" spans="1:17" ht="45">
      <c r="A70" s="37" t="s">
        <v>176</v>
      </c>
      <c r="B70" s="37" t="s">
        <v>177</v>
      </c>
      <c r="C70" s="37" t="s">
        <v>18</v>
      </c>
      <c r="D70" s="38" t="s">
        <v>50</v>
      </c>
      <c r="E70" s="38" t="s">
        <v>28</v>
      </c>
      <c r="F70" s="38"/>
      <c r="G70" s="38"/>
      <c r="H70" s="38" t="s">
        <v>20</v>
      </c>
      <c r="I70" s="38" t="s">
        <v>21</v>
      </c>
      <c r="J70" s="37">
        <v>9</v>
      </c>
      <c r="K70" s="38" t="s">
        <v>35</v>
      </c>
      <c r="L70" s="37">
        <v>100</v>
      </c>
      <c r="M70" s="37">
        <v>400</v>
      </c>
      <c r="N70" s="37">
        <v>500</v>
      </c>
      <c r="O70" s="37">
        <v>600</v>
      </c>
      <c r="P70" s="38" t="s">
        <v>23</v>
      </c>
      <c r="Q70" s="37" t="s">
        <v>24</v>
      </c>
    </row>
    <row r="71" spans="1:17" ht="45">
      <c r="A71" s="37" t="s">
        <v>178</v>
      </c>
      <c r="B71" s="37" t="s">
        <v>179</v>
      </c>
      <c r="C71" s="37" t="s">
        <v>18</v>
      </c>
      <c r="D71" s="38"/>
      <c r="E71" s="38" t="s">
        <v>28</v>
      </c>
      <c r="F71" s="38"/>
      <c r="G71" s="38"/>
      <c r="H71" s="38" t="s">
        <v>20</v>
      </c>
      <c r="I71" s="38" t="s">
        <v>21</v>
      </c>
      <c r="J71" s="37">
        <v>9</v>
      </c>
      <c r="K71" s="38" t="s">
        <v>22</v>
      </c>
      <c r="L71" s="37">
        <v>170</v>
      </c>
      <c r="M71" s="37">
        <v>280</v>
      </c>
      <c r="N71" s="37">
        <v>500</v>
      </c>
      <c r="O71" s="37">
        <v>700</v>
      </c>
      <c r="P71" s="38" t="s">
        <v>23</v>
      </c>
      <c r="Q71" s="37" t="s">
        <v>24</v>
      </c>
    </row>
    <row r="72" spans="1:17" ht="60">
      <c r="A72" s="37" t="s">
        <v>180</v>
      </c>
      <c r="B72" s="37" t="s">
        <v>181</v>
      </c>
      <c r="C72" s="37" t="s">
        <v>49</v>
      </c>
      <c r="D72" s="38"/>
      <c r="E72" s="38" t="s">
        <v>28</v>
      </c>
      <c r="F72" s="38"/>
      <c r="G72" s="38"/>
      <c r="H72" s="38" t="s">
        <v>33</v>
      </c>
      <c r="I72" s="38" t="s">
        <v>34</v>
      </c>
      <c r="J72" s="37">
        <v>10</v>
      </c>
      <c r="K72" s="38" t="s">
        <v>35</v>
      </c>
      <c r="L72" s="37">
        <v>100</v>
      </c>
      <c r="M72" s="37">
        <v>400</v>
      </c>
      <c r="N72" s="37">
        <v>1000</v>
      </c>
      <c r="O72" s="37">
        <v>2000</v>
      </c>
      <c r="P72" s="38" t="s">
        <v>43</v>
      </c>
      <c r="Q72" s="37" t="s">
        <v>38</v>
      </c>
    </row>
    <row r="73" spans="1:17" ht="45">
      <c r="A73" s="37" t="s">
        <v>182</v>
      </c>
      <c r="B73" s="37" t="s">
        <v>183</v>
      </c>
      <c r="C73" s="37" t="s">
        <v>27</v>
      </c>
      <c r="D73" s="38"/>
      <c r="E73" s="38" t="s">
        <v>28</v>
      </c>
      <c r="F73" s="38"/>
      <c r="G73" s="38"/>
      <c r="H73" s="38" t="s">
        <v>20</v>
      </c>
      <c r="I73" s="38" t="s">
        <v>21</v>
      </c>
      <c r="J73" s="37">
        <v>8</v>
      </c>
      <c r="K73" s="38" t="s">
        <v>22</v>
      </c>
      <c r="L73" s="37">
        <v>200</v>
      </c>
      <c r="M73" s="37">
        <v>400</v>
      </c>
      <c r="N73" s="37">
        <v>600</v>
      </c>
      <c r="O73" s="37">
        <v>800</v>
      </c>
      <c r="P73" s="38" t="s">
        <v>29</v>
      </c>
      <c r="Q73" s="37" t="s">
        <v>24</v>
      </c>
    </row>
    <row r="74" spans="1:17" ht="45">
      <c r="A74" s="37" t="s">
        <v>184</v>
      </c>
      <c r="B74" s="37" t="s">
        <v>185</v>
      </c>
      <c r="C74" s="37" t="s">
        <v>32</v>
      </c>
      <c r="D74" s="38"/>
      <c r="E74" s="38" t="s">
        <v>28</v>
      </c>
      <c r="F74" s="38"/>
      <c r="G74" s="38"/>
      <c r="H74" s="38" t="s">
        <v>51</v>
      </c>
      <c r="I74" s="38" t="s">
        <v>21</v>
      </c>
      <c r="J74" s="37">
        <v>10</v>
      </c>
      <c r="K74" s="38" t="s">
        <v>22</v>
      </c>
      <c r="L74" s="37">
        <v>200</v>
      </c>
      <c r="M74" s="37">
        <v>450</v>
      </c>
      <c r="N74" s="37">
        <v>600</v>
      </c>
      <c r="O74" s="37">
        <v>1000</v>
      </c>
      <c r="P74" s="38" t="s">
        <v>23</v>
      </c>
      <c r="Q74" s="37" t="s">
        <v>24</v>
      </c>
    </row>
    <row r="75" spans="1:17" ht="60">
      <c r="A75" s="37" t="s">
        <v>186</v>
      </c>
      <c r="B75" s="37" t="s">
        <v>187</v>
      </c>
      <c r="C75" s="37" t="s">
        <v>32</v>
      </c>
      <c r="D75" s="38" t="s">
        <v>50</v>
      </c>
      <c r="E75" s="38" t="s">
        <v>28</v>
      </c>
      <c r="F75" s="38"/>
      <c r="G75" s="38"/>
      <c r="H75" s="38" t="s">
        <v>46</v>
      </c>
      <c r="I75" s="38" t="s">
        <v>21</v>
      </c>
      <c r="J75" s="37">
        <v>10</v>
      </c>
      <c r="K75" s="38" t="s">
        <v>22</v>
      </c>
      <c r="L75" s="37">
        <v>100</v>
      </c>
      <c r="M75" s="37">
        <v>250</v>
      </c>
      <c r="N75" s="37">
        <v>500</v>
      </c>
      <c r="O75" s="37">
        <v>700</v>
      </c>
      <c r="P75" s="38" t="s">
        <v>23</v>
      </c>
      <c r="Q75" s="37" t="s">
        <v>24</v>
      </c>
    </row>
    <row r="76" spans="1:17" ht="60">
      <c r="A76" s="37" t="s">
        <v>188</v>
      </c>
      <c r="B76" s="37" t="s">
        <v>189</v>
      </c>
      <c r="C76" s="37" t="s">
        <v>49</v>
      </c>
      <c r="D76" s="38" t="s">
        <v>50</v>
      </c>
      <c r="E76" s="38"/>
      <c r="F76" s="38"/>
      <c r="G76" s="38"/>
      <c r="H76" s="38" t="s">
        <v>33</v>
      </c>
      <c r="I76" s="38" t="s">
        <v>21</v>
      </c>
      <c r="J76" s="37">
        <v>8</v>
      </c>
      <c r="K76" s="38" t="s">
        <v>22</v>
      </c>
      <c r="L76" s="37">
        <v>100</v>
      </c>
      <c r="M76" s="37">
        <v>400</v>
      </c>
      <c r="N76" s="37">
        <v>580</v>
      </c>
      <c r="O76" s="37">
        <v>580</v>
      </c>
      <c r="P76" s="38" t="s">
        <v>29</v>
      </c>
      <c r="Q76" s="37" t="s">
        <v>24</v>
      </c>
    </row>
    <row r="77" spans="1:17" ht="45">
      <c r="A77" s="37" t="s">
        <v>190</v>
      </c>
      <c r="B77" s="37" t="s">
        <v>191</v>
      </c>
      <c r="C77" s="37" t="s">
        <v>32</v>
      </c>
      <c r="D77" s="38"/>
      <c r="E77" s="38" t="s">
        <v>28</v>
      </c>
      <c r="F77" s="38"/>
      <c r="G77" s="38"/>
      <c r="H77" s="38" t="s">
        <v>20</v>
      </c>
      <c r="I77" s="38" t="s">
        <v>21</v>
      </c>
      <c r="J77" s="37">
        <v>10</v>
      </c>
      <c r="K77" s="38" t="s">
        <v>22</v>
      </c>
      <c r="L77" s="37">
        <v>100</v>
      </c>
      <c r="M77" s="37">
        <v>700</v>
      </c>
      <c r="N77" s="37">
        <v>1000</v>
      </c>
      <c r="O77" s="37">
        <v>3000</v>
      </c>
      <c r="P77" s="38" t="s">
        <v>29</v>
      </c>
      <c r="Q77" s="37" t="s">
        <v>24</v>
      </c>
    </row>
    <row r="78" spans="1:17" ht="45">
      <c r="A78" s="37" t="s">
        <v>192</v>
      </c>
      <c r="B78" s="37" t="s">
        <v>193</v>
      </c>
      <c r="C78" s="37" t="s">
        <v>27</v>
      </c>
      <c r="D78" s="38"/>
      <c r="E78" s="38"/>
      <c r="F78" s="38"/>
      <c r="G78" s="38" t="s">
        <v>19</v>
      </c>
      <c r="H78" s="38" t="s">
        <v>20</v>
      </c>
      <c r="I78" s="38" t="s">
        <v>21</v>
      </c>
      <c r="J78" s="37">
        <v>9</v>
      </c>
      <c r="K78" s="38" t="s">
        <v>22</v>
      </c>
      <c r="L78" s="37">
        <v>450</v>
      </c>
      <c r="M78" s="37">
        <v>700</v>
      </c>
      <c r="N78" s="37">
        <v>1000</v>
      </c>
      <c r="O78" s="37">
        <v>1500</v>
      </c>
      <c r="P78" s="38" t="s">
        <v>29</v>
      </c>
      <c r="Q78" s="37" t="s">
        <v>24</v>
      </c>
    </row>
    <row r="79" spans="1:17" ht="45">
      <c r="A79" s="37" t="s">
        <v>194</v>
      </c>
      <c r="B79" s="37" t="s">
        <v>195</v>
      </c>
      <c r="C79" s="37" t="s">
        <v>27</v>
      </c>
      <c r="D79" s="38"/>
      <c r="E79" s="38"/>
      <c r="F79" s="38"/>
      <c r="G79" s="38" t="s">
        <v>19</v>
      </c>
      <c r="H79" s="38" t="s">
        <v>20</v>
      </c>
      <c r="I79" s="38" t="s">
        <v>21</v>
      </c>
      <c r="J79" s="37">
        <v>9</v>
      </c>
      <c r="K79" s="38" t="s">
        <v>35</v>
      </c>
      <c r="L79" s="37">
        <v>99</v>
      </c>
      <c r="M79" s="37">
        <v>225</v>
      </c>
      <c r="N79" s="37">
        <v>375</v>
      </c>
      <c r="O79" s="37">
        <v>415</v>
      </c>
      <c r="P79" s="38" t="s">
        <v>23</v>
      </c>
      <c r="Q79" s="37" t="s">
        <v>24</v>
      </c>
    </row>
    <row r="80" spans="1:17" ht="60">
      <c r="A80" s="37" t="s">
        <v>196</v>
      </c>
      <c r="B80" s="37" t="s">
        <v>197</v>
      </c>
      <c r="C80" s="37" t="s">
        <v>32</v>
      </c>
      <c r="D80" s="38"/>
      <c r="E80" s="38" t="s">
        <v>28</v>
      </c>
      <c r="F80" s="38"/>
      <c r="G80" s="38"/>
      <c r="H80" s="38" t="s">
        <v>46</v>
      </c>
      <c r="I80" s="38" t="s">
        <v>21</v>
      </c>
      <c r="J80" s="37">
        <v>8</v>
      </c>
      <c r="K80" s="38" t="s">
        <v>22</v>
      </c>
      <c r="L80" s="37">
        <v>100</v>
      </c>
      <c r="M80" s="37">
        <v>300</v>
      </c>
      <c r="N80" s="37">
        <v>500</v>
      </c>
      <c r="O80" s="37">
        <v>1000</v>
      </c>
      <c r="P80" s="38" t="s">
        <v>23</v>
      </c>
      <c r="Q80" s="37" t="s">
        <v>24</v>
      </c>
    </row>
    <row r="81" spans="1:17" ht="45">
      <c r="A81" s="37" t="s">
        <v>198</v>
      </c>
      <c r="B81" s="37" t="s">
        <v>199</v>
      </c>
      <c r="C81" s="37" t="s">
        <v>49</v>
      </c>
      <c r="D81" s="38"/>
      <c r="E81" s="38"/>
      <c r="F81" s="38"/>
      <c r="G81" s="38" t="s">
        <v>19</v>
      </c>
      <c r="H81" s="38" t="s">
        <v>20</v>
      </c>
      <c r="I81" s="38" t="s">
        <v>21</v>
      </c>
      <c r="J81" s="37">
        <v>9</v>
      </c>
      <c r="K81" s="38" t="s">
        <v>22</v>
      </c>
      <c r="L81" s="37">
        <v>300</v>
      </c>
      <c r="M81" s="37">
        <v>500</v>
      </c>
      <c r="N81" s="37">
        <v>1000</v>
      </c>
      <c r="O81" s="37">
        <v>2000</v>
      </c>
      <c r="P81" s="38" t="s">
        <v>23</v>
      </c>
      <c r="Q81" s="37" t="s">
        <v>38</v>
      </c>
    </row>
    <row r="82" spans="1:17" ht="60">
      <c r="A82" s="37" t="s">
        <v>200</v>
      </c>
      <c r="B82" s="37" t="s">
        <v>201</v>
      </c>
      <c r="C82" s="37" t="s">
        <v>32</v>
      </c>
      <c r="D82" s="38"/>
      <c r="E82" s="38" t="s">
        <v>28</v>
      </c>
      <c r="F82" s="38"/>
      <c r="G82" s="38"/>
      <c r="H82" s="38" t="s">
        <v>46</v>
      </c>
      <c r="I82" s="38" t="s">
        <v>21</v>
      </c>
      <c r="J82" s="37">
        <v>6</v>
      </c>
      <c r="K82" s="38" t="s">
        <v>22</v>
      </c>
      <c r="L82" s="37">
        <v>500</v>
      </c>
      <c r="M82" s="37">
        <v>1000</v>
      </c>
      <c r="N82" s="37">
        <v>2500</v>
      </c>
      <c r="O82" s="37">
        <v>5000</v>
      </c>
      <c r="P82" s="38" t="s">
        <v>29</v>
      </c>
      <c r="Q82" s="37" t="s">
        <v>38</v>
      </c>
    </row>
    <row r="83" spans="1:17" ht="45">
      <c r="A83" s="37" t="s">
        <v>202</v>
      </c>
      <c r="B83" s="37" t="s">
        <v>203</v>
      </c>
      <c r="C83" s="37" t="s">
        <v>49</v>
      </c>
      <c r="D83" s="38"/>
      <c r="E83" s="38"/>
      <c r="F83" s="38"/>
      <c r="G83" s="38" t="s">
        <v>19</v>
      </c>
      <c r="H83" s="38" t="s">
        <v>20</v>
      </c>
      <c r="I83" s="38" t="s">
        <v>21</v>
      </c>
      <c r="J83" s="37">
        <v>6</v>
      </c>
      <c r="K83" s="38" t="s">
        <v>22</v>
      </c>
      <c r="L83" s="37">
        <v>200</v>
      </c>
      <c r="M83" s="37">
        <v>400</v>
      </c>
      <c r="N83" s="37">
        <v>400</v>
      </c>
      <c r="O83" s="37">
        <v>600</v>
      </c>
      <c r="P83" s="38" t="s">
        <v>23</v>
      </c>
      <c r="Q83" s="37" t="s">
        <v>38</v>
      </c>
    </row>
    <row r="84" spans="1:17" ht="60">
      <c r="A84" s="37" t="s">
        <v>204</v>
      </c>
      <c r="B84" s="37" t="s">
        <v>205</v>
      </c>
      <c r="C84" s="37" t="s">
        <v>27</v>
      </c>
      <c r="D84" s="38"/>
      <c r="E84" s="38" t="s">
        <v>28</v>
      </c>
      <c r="F84" s="38"/>
      <c r="G84" s="38"/>
      <c r="H84" s="38" t="s">
        <v>46</v>
      </c>
      <c r="I84" s="38" t="s">
        <v>21</v>
      </c>
      <c r="J84" s="37">
        <v>9</v>
      </c>
      <c r="K84" s="38" t="s">
        <v>22</v>
      </c>
      <c r="L84" s="37">
        <v>150</v>
      </c>
      <c r="M84" s="37">
        <v>350</v>
      </c>
      <c r="N84" s="37">
        <v>500</v>
      </c>
      <c r="O84" s="37">
        <v>700</v>
      </c>
      <c r="P84" s="38" t="s">
        <v>23</v>
      </c>
      <c r="Q84" s="37" t="s">
        <v>24</v>
      </c>
    </row>
    <row r="85" spans="1:17" ht="60">
      <c r="A85" s="37" t="s">
        <v>206</v>
      </c>
      <c r="B85" s="37" t="s">
        <v>207</v>
      </c>
      <c r="C85" s="37" t="s">
        <v>49</v>
      </c>
      <c r="D85" s="38"/>
      <c r="E85" s="38" t="s">
        <v>28</v>
      </c>
      <c r="F85" s="38" t="s">
        <v>59</v>
      </c>
      <c r="G85" s="38"/>
      <c r="H85" s="38" t="s">
        <v>46</v>
      </c>
      <c r="I85" s="38" t="s">
        <v>34</v>
      </c>
      <c r="J85" s="37">
        <v>8</v>
      </c>
      <c r="K85" s="38" t="s">
        <v>22</v>
      </c>
      <c r="L85" s="37">
        <v>150</v>
      </c>
      <c r="M85" s="37">
        <v>350</v>
      </c>
      <c r="N85" s="37">
        <v>500</v>
      </c>
      <c r="O85" s="37">
        <v>800</v>
      </c>
      <c r="P85" s="38" t="s">
        <v>29</v>
      </c>
      <c r="Q85" s="37" t="s">
        <v>24</v>
      </c>
    </row>
    <row r="86" spans="1:17" ht="30">
      <c r="A86" s="37" t="s">
        <v>208</v>
      </c>
      <c r="B86" s="37" t="s">
        <v>209</v>
      </c>
      <c r="C86" s="37" t="s">
        <v>49</v>
      </c>
      <c r="D86" s="38" t="s">
        <v>50</v>
      </c>
      <c r="E86" s="38"/>
      <c r="F86" s="38"/>
      <c r="G86" s="38"/>
      <c r="H86" s="38" t="s">
        <v>51</v>
      </c>
      <c r="I86" s="38" t="s">
        <v>21</v>
      </c>
      <c r="J86" s="37">
        <v>10</v>
      </c>
      <c r="K86" s="38" t="s">
        <v>22</v>
      </c>
      <c r="L86" s="37">
        <v>200</v>
      </c>
      <c r="M86" s="37">
        <v>500</v>
      </c>
      <c r="N86" s="37">
        <v>1000</v>
      </c>
      <c r="O86" s="37">
        <v>3000</v>
      </c>
      <c r="P86" s="38" t="s">
        <v>29</v>
      </c>
      <c r="Q86" s="37" t="s">
        <v>24</v>
      </c>
    </row>
    <row r="87" spans="1:17" ht="45">
      <c r="A87" s="37" t="s">
        <v>210</v>
      </c>
      <c r="B87" s="37" t="s">
        <v>211</v>
      </c>
      <c r="C87" s="37" t="s">
        <v>27</v>
      </c>
      <c r="D87" s="38" t="s">
        <v>50</v>
      </c>
      <c r="E87" s="38" t="s">
        <v>28</v>
      </c>
      <c r="F87" s="38"/>
      <c r="G87" s="38"/>
      <c r="H87" s="38" t="s">
        <v>20</v>
      </c>
      <c r="I87" s="38" t="s">
        <v>21</v>
      </c>
      <c r="J87" s="37">
        <v>10</v>
      </c>
      <c r="K87" s="38" t="s">
        <v>22</v>
      </c>
      <c r="L87" s="37">
        <v>150</v>
      </c>
      <c r="M87" s="37">
        <v>350</v>
      </c>
      <c r="N87" s="37">
        <v>600</v>
      </c>
      <c r="O87" s="37">
        <v>1000</v>
      </c>
      <c r="P87" s="38" t="s">
        <v>23</v>
      </c>
      <c r="Q87" s="37" t="s">
        <v>24</v>
      </c>
    </row>
    <row r="88" spans="1:17" ht="60">
      <c r="A88" s="37" t="s">
        <v>212</v>
      </c>
      <c r="B88" s="37" t="s">
        <v>213</v>
      </c>
      <c r="C88" s="37" t="s">
        <v>32</v>
      </c>
      <c r="D88" s="38"/>
      <c r="E88" s="38" t="s">
        <v>28</v>
      </c>
      <c r="F88" s="38"/>
      <c r="G88" s="38"/>
      <c r="H88" s="38" t="s">
        <v>33</v>
      </c>
      <c r="I88" s="38" t="s">
        <v>21</v>
      </c>
      <c r="J88" s="37">
        <v>7</v>
      </c>
      <c r="K88" s="38" t="s">
        <v>22</v>
      </c>
      <c r="L88" s="37">
        <v>100</v>
      </c>
      <c r="M88" s="37">
        <v>355</v>
      </c>
      <c r="N88" s="37">
        <v>600</v>
      </c>
      <c r="O88" s="37">
        <v>1000</v>
      </c>
      <c r="P88" s="38" t="s">
        <v>23</v>
      </c>
      <c r="Q88" s="37" t="s">
        <v>24</v>
      </c>
    </row>
    <row r="89" spans="1:17" ht="45">
      <c r="A89" s="37" t="s">
        <v>214</v>
      </c>
      <c r="B89" s="37" t="s">
        <v>215</v>
      </c>
      <c r="C89" s="37" t="s">
        <v>32</v>
      </c>
      <c r="D89" s="38"/>
      <c r="E89" s="38" t="s">
        <v>28</v>
      </c>
      <c r="F89" s="38"/>
      <c r="G89" s="38"/>
      <c r="H89" s="38" t="s">
        <v>20</v>
      </c>
      <c r="I89" s="38" t="s">
        <v>21</v>
      </c>
      <c r="J89" s="37">
        <v>10</v>
      </c>
      <c r="K89" s="38" t="s">
        <v>22</v>
      </c>
      <c r="L89" s="37">
        <v>100</v>
      </c>
      <c r="M89" s="37">
        <v>450</v>
      </c>
      <c r="N89" s="37">
        <v>1000</v>
      </c>
      <c r="O89" s="37">
        <v>2000</v>
      </c>
      <c r="P89" s="38" t="s">
        <v>23</v>
      </c>
      <c r="Q89" s="37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4D42-EA9C-6944-984E-8E0B5521B773}">
  <dimension ref="A1:U68"/>
  <sheetViews>
    <sheetView tabSelected="1" zoomScale="36" zoomScaleNormal="63" workbookViewId="0">
      <selection activeCell="S38" sqref="S38"/>
    </sheetView>
  </sheetViews>
  <sheetFormatPr baseColWidth="10" defaultRowHeight="15"/>
  <cols>
    <col min="1" max="1" width="28.1640625" customWidth="1"/>
    <col min="2" max="2" width="11.1640625" customWidth="1"/>
    <col min="3" max="3" width="11" customWidth="1"/>
    <col min="4" max="4" width="24.1640625" customWidth="1"/>
    <col min="5" max="5" width="66.5" customWidth="1"/>
    <col min="7" max="7" width="13" customWidth="1"/>
    <col min="8" max="8" width="17.83203125" customWidth="1"/>
    <col min="9" max="9" width="18.83203125" customWidth="1"/>
    <col min="12" max="12" width="13.6640625" customWidth="1"/>
    <col min="13" max="13" width="19.1640625" customWidth="1"/>
    <col min="14" max="14" width="14.83203125" customWidth="1"/>
    <col min="17" max="17" width="10.83203125" customWidth="1"/>
  </cols>
  <sheetData>
    <row r="1" spans="1:13" s="49" customFormat="1" ht="25">
      <c r="A1" s="49" t="s">
        <v>217</v>
      </c>
    </row>
    <row r="2" spans="1:13" s="19" customFormat="1" ht="47" customHeight="1">
      <c r="A2" s="25" t="s">
        <v>218</v>
      </c>
      <c r="B2" s="26">
        <f>1 - (COUNTIF('Результаты опроса'!G:G, "*Ни с чем*") -1)/88</f>
        <v>0.54545454545454541</v>
      </c>
      <c r="C2" s="52" t="s">
        <v>274</v>
      </c>
      <c r="D2" s="52"/>
      <c r="E2" s="52"/>
      <c r="G2" s="44" t="s">
        <v>281</v>
      </c>
      <c r="H2" s="45" t="s">
        <v>282</v>
      </c>
      <c r="I2" s="44" t="s">
        <v>283</v>
      </c>
      <c r="J2" s="44" t="s">
        <v>286</v>
      </c>
    </row>
    <row r="3" spans="1:13" s="19" customFormat="1" ht="46">
      <c r="A3" s="25" t="s">
        <v>219</v>
      </c>
      <c r="B3" s="27">
        <f>COUNTIF('Результаты опроса'!J:J,"&gt;=6")/88</f>
        <v>0.875</v>
      </c>
      <c r="G3" s="43" t="s">
        <v>285</v>
      </c>
      <c r="H3" s="39">
        <f>COUNTIF('Результаты опроса'!C:C, "18 – 25 лет")</f>
        <v>32</v>
      </c>
      <c r="I3" s="41">
        <f>H3 - COUNTIFS('Результаты опроса'!C:C, "18 – 25 лет", 'Результаты опроса'!G:G, "*Ни с чем*")</f>
        <v>5</v>
      </c>
      <c r="J3" s="42">
        <f>I3/H3</f>
        <v>0.15625</v>
      </c>
    </row>
    <row r="4" spans="1:13" s="19" customFormat="1" ht="31">
      <c r="A4" s="25" t="s">
        <v>220</v>
      </c>
      <c r="B4" s="19">
        <f>AVERAGE('Результаты опроса'!J:J)</f>
        <v>7.5</v>
      </c>
      <c r="G4" s="46" t="s">
        <v>27</v>
      </c>
      <c r="H4" s="39">
        <f>COUNTIF('Результаты опроса'!C:C, "26 – 35 лет")</f>
        <v>9</v>
      </c>
      <c r="I4" s="41">
        <f>H4 - COUNTIFS('Результаты опроса'!C:C, "26 – 35 лет", 'Результаты опроса'!G:G, "*Ни с чем*")</f>
        <v>7</v>
      </c>
      <c r="J4" s="42">
        <f>I4/H4</f>
        <v>0.77777777777777779</v>
      </c>
    </row>
    <row r="5" spans="1:13" s="19" customFormat="1" ht="31">
      <c r="A5" s="25" t="s">
        <v>275</v>
      </c>
      <c r="B5" s="27">
        <f>(COUNTIF('Результаты опроса'!P:P,"*Oral-B*")-1)/88</f>
        <v>0.34090909090909088</v>
      </c>
      <c r="C5" s="28" t="s">
        <v>276</v>
      </c>
      <c r="G5" s="46" t="s">
        <v>32</v>
      </c>
      <c r="H5" s="8">
        <f>COUNTIF('Результаты опроса'!C:C, "36 – 45 лет")</f>
        <v>34</v>
      </c>
      <c r="I5" s="8">
        <f>H5 - COUNTIFS('Результаты опроса'!C:C, "36 – 45 лет", 'Результаты опроса'!G:G, "*Ни с чем*")</f>
        <v>25</v>
      </c>
      <c r="J5" s="42">
        <f>I5/H5</f>
        <v>0.73529411764705888</v>
      </c>
    </row>
    <row r="6" spans="1:13" s="19" customFormat="1" ht="32">
      <c r="A6" s="25" t="s">
        <v>277</v>
      </c>
      <c r="B6" s="27">
        <f>(COUNTIF('Результаты опроса'!P:P,"*Lacalut*")-1)/88</f>
        <v>6.8181818181818177E-2</v>
      </c>
      <c r="G6" s="46" t="s">
        <v>49</v>
      </c>
      <c r="H6" s="40">
        <f>COUNTIF('Результаты опроса'!C:C, "46+ лет")</f>
        <v>13</v>
      </c>
      <c r="I6" s="8">
        <f>H6 - COUNTIFS('Результаты опроса'!C:C, "46+ лет", 'Результаты опроса'!G:G, "*Ни с чем*")</f>
        <v>11</v>
      </c>
      <c r="J6" s="42">
        <f>I6/H6</f>
        <v>0.84615384615384615</v>
      </c>
    </row>
    <row r="7" spans="1:13" s="19" customFormat="1" ht="30">
      <c r="A7" s="25" t="s">
        <v>221</v>
      </c>
      <c r="B7" s="27">
        <f>COUNTIF('Результаты опроса'!P:P,"*Врач*")/88</f>
        <v>0.59090909090909094</v>
      </c>
      <c r="C7" s="50" t="s">
        <v>278</v>
      </c>
      <c r="D7" s="50"/>
      <c r="E7" s="50"/>
      <c r="F7" s="50"/>
      <c r="G7" s="47" t="s">
        <v>284</v>
      </c>
      <c r="H7" s="39">
        <f>SUM(H4:H6)</f>
        <v>56</v>
      </c>
      <c r="I7" s="39">
        <f>SUM(I4:I6)</f>
        <v>43</v>
      </c>
      <c r="J7" s="42">
        <f>I7/H7</f>
        <v>0.7678571428571429</v>
      </c>
    </row>
    <row r="8" spans="1:13" s="19" customFormat="1" ht="14"/>
    <row r="9" spans="1:13" s="19" customFormat="1" ht="14"/>
    <row r="10" spans="1:13" s="19" customFormat="1" ht="14"/>
    <row r="11" spans="1:13" s="19" customFormat="1" ht="32" customHeight="1">
      <c r="A11" s="29" t="s">
        <v>222</v>
      </c>
      <c r="B11" s="30">
        <f>(COUNTIF('Результаты опроса'!D:D, "*Кровоточивость*") -1)/88</f>
        <v>0.23863636363636365</v>
      </c>
    </row>
    <row r="12" spans="1:13" s="19" customFormat="1">
      <c r="A12" s="29" t="s">
        <v>223</v>
      </c>
      <c r="B12" s="30">
        <f>(COUNTIF('Результаты опроса'!E:E, "*Резкая*") -1)/88</f>
        <v>0.44318181818181818</v>
      </c>
      <c r="C12" s="51" t="s">
        <v>279</v>
      </c>
      <c r="D12" s="51"/>
      <c r="L12" s="54"/>
      <c r="M12" s="54"/>
    </row>
    <row r="13" spans="1:13" s="19" customFormat="1">
      <c r="A13" s="29" t="s">
        <v>224</v>
      </c>
      <c r="B13" s="30">
        <f>(COUNTIF('Результаты опроса'!F:F, "*Рыхлость*") -1)/88</f>
        <v>7.9545454545454544E-2</v>
      </c>
    </row>
    <row r="14" spans="1:13" s="19" customFormat="1" ht="21" customHeight="1">
      <c r="A14" s="29" t="s">
        <v>225</v>
      </c>
      <c r="B14" s="31">
        <f>1-B11-B12-B13</f>
        <v>0.23863636363636365</v>
      </c>
    </row>
    <row r="15" spans="1:13" s="19" customFormat="1" ht="14"/>
    <row r="16" spans="1:13" s="19" customFormat="1" ht="14"/>
    <row r="17" spans="1:3" s="19" customFormat="1" ht="14">
      <c r="A17" s="27"/>
    </row>
    <row r="18" spans="1:3" s="19" customFormat="1" ht="14"/>
    <row r="19" spans="1:3" s="19" customFormat="1" ht="14"/>
    <row r="20" spans="1:3" s="19" customFormat="1" ht="14"/>
    <row r="21" spans="1:3" s="19" customFormat="1" ht="14"/>
    <row r="22" spans="1:3" s="19" customFormat="1" ht="14"/>
    <row r="23" spans="1:3" s="32" customFormat="1" ht="14"/>
    <row r="24" spans="1:3" s="19" customFormat="1" ht="14"/>
    <row r="25" spans="1:3" s="19" customFormat="1" ht="14"/>
    <row r="26" spans="1:3" s="19" customFormat="1" ht="20">
      <c r="A26" s="53" t="s">
        <v>226</v>
      </c>
      <c r="B26" s="53"/>
      <c r="C26" s="53"/>
    </row>
    <row r="27" spans="1:3" s="19" customFormat="1">
      <c r="A27" s="29" t="s">
        <v>227</v>
      </c>
      <c r="B27" s="30">
        <f>COUNTIF('Результаты опроса'!I:I,"*Совету моего*")/88</f>
        <v>0.625</v>
      </c>
    </row>
    <row r="28" spans="1:3" s="19" customFormat="1" ht="30">
      <c r="A28" s="29" t="s">
        <v>228</v>
      </c>
      <c r="B28" s="30">
        <f>COUNTIF('Результаты опроса'!I:I,"*Отзывам*")/88</f>
        <v>0.31818181818181818</v>
      </c>
    </row>
    <row r="29" spans="1:3" s="19" customFormat="1">
      <c r="A29" s="29" t="s">
        <v>229</v>
      </c>
      <c r="B29" s="31">
        <f>1-B27-B28</f>
        <v>5.6818181818181823E-2</v>
      </c>
    </row>
    <row r="30" spans="1:3" s="19" customFormat="1" ht="14"/>
    <row r="31" spans="1:3" s="19" customFormat="1" ht="90">
      <c r="A31" s="33" t="s">
        <v>230</v>
      </c>
      <c r="B31" s="34"/>
      <c r="C31" s="34"/>
    </row>
    <row r="32" spans="1:3" s="19" customFormat="1" ht="14"/>
    <row r="33" spans="1:21" s="19" customFormat="1" ht="14"/>
    <row r="34" spans="1:21" s="19" customFormat="1" ht="14"/>
    <row r="35" spans="1:21" s="19" customFormat="1" ht="14"/>
    <row r="36" spans="1:21" s="19" customFormat="1" ht="14"/>
    <row r="37" spans="1:21" s="19" customFormat="1" ht="14"/>
    <row r="38" spans="1:21" s="19" customFormat="1" ht="14"/>
    <row r="39" spans="1:21" s="19" customFormat="1" ht="14"/>
    <row r="40" spans="1:21" s="32" customFormat="1" ht="14"/>
    <row r="41" spans="1:21" s="19" customFormat="1" ht="14"/>
    <row r="42" spans="1:21" s="19" customFormat="1" ht="14">
      <c r="A42" s="48" t="s">
        <v>287</v>
      </c>
      <c r="B42" s="48"/>
      <c r="C42" s="48"/>
      <c r="D42" s="48"/>
      <c r="E42" s="48"/>
      <c r="F42" s="48"/>
      <c r="G42" s="48"/>
      <c r="H42" s="48"/>
      <c r="R42" s="60" t="s">
        <v>288</v>
      </c>
      <c r="S42" s="60"/>
      <c r="T42" s="60"/>
      <c r="U42" s="60"/>
    </row>
    <row r="43" spans="1:21" s="19" customFormat="1" ht="14"/>
    <row r="44" spans="1:21" s="19" customFormat="1" ht="14"/>
    <row r="45" spans="1:21" s="19" customFormat="1" ht="14"/>
    <row r="46" spans="1:21" s="19" customFormat="1" ht="14"/>
    <row r="47" spans="1:21" s="19" customFormat="1" ht="14"/>
    <row r="48" spans="1:21" s="19" customFormat="1" ht="14"/>
    <row r="49" spans="1:3" s="19" customFormat="1" ht="14"/>
    <row r="50" spans="1:3" s="19" customFormat="1" ht="14"/>
    <row r="51" spans="1:3" s="19" customFormat="1" ht="14"/>
    <row r="52" spans="1:3" s="19" customFormat="1" ht="14"/>
    <row r="53" spans="1:3" s="19" customFormat="1" ht="14"/>
    <row r="54" spans="1:3" s="19" customFormat="1" ht="14"/>
    <row r="55" spans="1:3" s="19" customFormat="1" ht="14"/>
    <row r="56" spans="1:3" s="19" customFormat="1" ht="14"/>
    <row r="57" spans="1:3" s="19" customFormat="1" ht="14"/>
    <row r="58" spans="1:3" s="19" customFormat="1" ht="14"/>
    <row r="59" spans="1:3" s="19" customFormat="1" ht="14"/>
    <row r="60" spans="1:3" s="19" customFormat="1" ht="14"/>
    <row r="61" spans="1:3" s="19" customFormat="1" ht="14"/>
    <row r="62" spans="1:3" s="19" customFormat="1" ht="14"/>
    <row r="63" spans="1:3" s="19" customFormat="1" ht="14"/>
    <row r="64" spans="1:3" s="19" customFormat="1" ht="14">
      <c r="A64" s="4"/>
      <c r="B64" s="4"/>
      <c r="C64" s="4"/>
    </row>
    <row r="65" spans="1:5" s="19" customFormat="1" ht="75" customHeight="1">
      <c r="A65" s="5" t="s">
        <v>233</v>
      </c>
      <c r="B65" s="5" t="s">
        <v>234</v>
      </c>
      <c r="C65" s="35">
        <f>300 + (350-300) * ( ('PSM  Общая выборка'!B6 - 'PSM  Общая выборка'!D6) / ( ('PSM  Общая выборка'!B6 - 'PSM  Общая выборка'!D6) - ('PSM  Общая выборка'!B8 - 'PSM  Общая выборка'!D8) ) )</f>
        <v>331.0344827586207</v>
      </c>
      <c r="D65" s="6" t="s">
        <v>252</v>
      </c>
    </row>
    <row r="66" spans="1:5" s="19" customFormat="1" ht="60" customHeight="1">
      <c r="A66" s="5" t="s">
        <v>235</v>
      </c>
      <c r="B66" s="5" t="s">
        <v>236</v>
      </c>
      <c r="C66" s="35">
        <f>700 + (750-700) * ( ('PSM  Общая выборка'!C17 - 'PSM  Общая выборка'!E17) / ( ('PSM  Общая выборка'!C17 - 'PSM  Общая выборка'!E17) - ('PSM  Общая выборка'!C19 - 'PSM  Общая выборка'!E19) ) )</f>
        <v>740</v>
      </c>
      <c r="D66" s="6" t="s">
        <v>241</v>
      </c>
    </row>
    <row r="67" spans="1:5" s="19" customFormat="1" ht="75" customHeight="1">
      <c r="A67" s="5" t="s">
        <v>237</v>
      </c>
      <c r="B67" s="5" t="s">
        <v>238</v>
      </c>
      <c r="C67" s="35">
        <f>450 + (500-450) * ( ('PSM  Общая выборка'!B11 - 'PSM  Общая выборка'!E11) / ( ('PSM  Общая выборка'!B11 - 'PSM  Общая выборка'!E11) - ('PSM  Общая выборка'!B13 - 'PSM  Общая выборка'!E13) ) )</f>
        <v>482.5</v>
      </c>
      <c r="D67" s="6" t="s">
        <v>242</v>
      </c>
      <c r="E67" s="34" t="s">
        <v>280</v>
      </c>
    </row>
    <row r="68" spans="1:5" s="19" customFormat="1" ht="75" customHeight="1">
      <c r="A68" s="5" t="s">
        <v>239</v>
      </c>
      <c r="B68" s="5" t="s">
        <v>240</v>
      </c>
      <c r="C68" s="35">
        <f>400 + (450-400) * ( ('PSM  Общая выборка'!C9 - 'PSM  Общая выборка'!D9) / ( ('PSM  Общая выборка'!C9 - 'PSM  Общая выборка'!D9) - ('PSM  Общая выборка'!C11 - 'PSM  Общая выборка'!D11) ) )</f>
        <v>442.85714285714289</v>
      </c>
      <c r="D68" s="6" t="s">
        <v>243</v>
      </c>
    </row>
  </sheetData>
  <mergeCells count="8">
    <mergeCell ref="A42:H42"/>
    <mergeCell ref="A1:XFD1"/>
    <mergeCell ref="C7:F7"/>
    <mergeCell ref="C12:D12"/>
    <mergeCell ref="C2:E2"/>
    <mergeCell ref="A26:C26"/>
    <mergeCell ref="L12:M12"/>
    <mergeCell ref="R42:U4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168C-2C89-8746-9558-AAF35662DBD5}">
  <dimension ref="A1:M22"/>
  <sheetViews>
    <sheetView zoomScale="50" zoomScaleNormal="125" workbookViewId="0">
      <selection activeCell="B4" sqref="B4"/>
    </sheetView>
  </sheetViews>
  <sheetFormatPr baseColWidth="10" defaultRowHeight="15"/>
  <cols>
    <col min="1" max="1" width="30.1640625" customWidth="1"/>
    <col min="2" max="2" width="37.5" customWidth="1"/>
    <col min="3" max="3" width="18.1640625" customWidth="1"/>
    <col min="6" max="6" width="12.83203125" customWidth="1"/>
  </cols>
  <sheetData>
    <row r="1" spans="1:13">
      <c r="A1" s="7" t="s">
        <v>244</v>
      </c>
      <c r="B1" s="8" t="s">
        <v>245</v>
      </c>
      <c r="C1" s="56" t="s">
        <v>246</v>
      </c>
      <c r="D1" s="56"/>
      <c r="E1" s="56"/>
      <c r="F1" s="56"/>
    </row>
    <row r="2" spans="1:13">
      <c r="A2" s="7" t="s">
        <v>247</v>
      </c>
      <c r="B2" s="8" t="s">
        <v>268</v>
      </c>
      <c r="C2" s="56" t="s">
        <v>267</v>
      </c>
      <c r="D2" s="56"/>
      <c r="E2" s="56"/>
      <c r="F2" s="56"/>
    </row>
    <row r="3" spans="1:13" ht="32">
      <c r="A3" s="7" t="s">
        <v>248</v>
      </c>
      <c r="B3" s="9" t="s">
        <v>269</v>
      </c>
      <c r="C3" s="57" t="s">
        <v>250</v>
      </c>
      <c r="D3" s="58"/>
      <c r="E3" s="58"/>
      <c r="F3" s="59"/>
    </row>
    <row r="4" spans="1:13">
      <c r="A4" s="7" t="s">
        <v>249</v>
      </c>
      <c r="B4" s="8" t="s">
        <v>270</v>
      </c>
      <c r="C4" s="56" t="s">
        <v>251</v>
      </c>
      <c r="D4" s="56"/>
      <c r="E4" s="56"/>
      <c r="F4" s="56"/>
    </row>
    <row r="9" spans="1:13">
      <c r="A9" s="10" t="s">
        <v>256</v>
      </c>
      <c r="B9" s="10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>
      <c r="A10" s="12" t="s">
        <v>253</v>
      </c>
      <c r="B10" s="13">
        <f>AVERAGEIF('Результаты опроса'!C:C, "18 – 25 лет", 'Результаты опроса'!J:J)</f>
        <v>7</v>
      </c>
      <c r="C10" s="55" t="s">
        <v>258</v>
      </c>
      <c r="D10" s="55"/>
      <c r="E10" s="55"/>
      <c r="F10" s="55"/>
      <c r="G10" s="55"/>
      <c r="H10" s="55"/>
      <c r="I10" s="55"/>
      <c r="J10" s="11"/>
      <c r="K10" s="11"/>
      <c r="L10" s="11"/>
      <c r="M10" s="11"/>
    </row>
    <row r="11" spans="1:13">
      <c r="A11" s="12" t="s">
        <v>254</v>
      </c>
      <c r="B11" s="14">
        <f>AVERAGEIF('Результаты опроса'!C:C, "26 – 35 лет", 'Результаты опроса'!J:J)</f>
        <v>8.1111111111111107</v>
      </c>
      <c r="C11" s="55" t="s">
        <v>259</v>
      </c>
      <c r="D11" s="55"/>
      <c r="E11" s="55"/>
      <c r="F11" s="55"/>
      <c r="G11" s="55"/>
      <c r="H11" s="55"/>
      <c r="I11" s="55"/>
      <c r="J11" s="11"/>
      <c r="K11" s="11"/>
      <c r="L11" s="11"/>
      <c r="M11" s="11"/>
    </row>
    <row r="12" spans="1:13">
      <c r="A12" s="12" t="s">
        <v>255</v>
      </c>
      <c r="B12" s="15">
        <f>AVERAGEIF('Результаты опроса'!C:C, "46+ лет", 'Результаты опроса'!J:J)</f>
        <v>8.1538461538461533</v>
      </c>
      <c r="C12" s="55" t="s">
        <v>257</v>
      </c>
      <c r="D12" s="55"/>
      <c r="E12" s="55"/>
      <c r="F12" s="55"/>
      <c r="G12" s="55"/>
      <c r="H12" s="55"/>
      <c r="I12" s="55"/>
      <c r="J12" s="11"/>
      <c r="K12" s="11"/>
      <c r="L12" s="11"/>
      <c r="M12" s="11"/>
    </row>
    <row r="13" spans="1: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3">
      <c r="A15" s="10" t="s">
        <v>248</v>
      </c>
      <c r="B15" s="10"/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3">
      <c r="A16" s="16" t="s">
        <v>260</v>
      </c>
      <c r="B16" s="17">
        <f>(COUNTIF('Результаты опроса'!Q:Q, "*Да, определенно*") + COUNTIF('Результаты опроса'!Q:Q, "*Возможно*")) / 88</f>
        <v>0.98863636363636365</v>
      </c>
      <c r="C16" s="55" t="s">
        <v>263</v>
      </c>
      <c r="D16" s="55"/>
      <c r="E16" s="55"/>
      <c r="F16" s="55"/>
      <c r="G16" s="55"/>
      <c r="H16" s="55"/>
      <c r="I16" s="55"/>
      <c r="J16" s="55"/>
      <c r="K16" s="11"/>
      <c r="L16" s="11"/>
      <c r="M16" s="11"/>
    </row>
    <row r="17" spans="1:13">
      <c r="A17" s="16" t="s">
        <v>261</v>
      </c>
      <c r="B17" s="17">
        <f>COUNTIF('Результаты опроса'!Q:Q, "*Да, определенно*") / 88</f>
        <v>0.42045454545454547</v>
      </c>
      <c r="C17" s="55" t="s">
        <v>262</v>
      </c>
      <c r="D17" s="55"/>
      <c r="E17" s="55"/>
      <c r="F17" s="55"/>
      <c r="G17" s="55"/>
      <c r="H17" s="55"/>
      <c r="I17" s="55"/>
      <c r="J17" s="55"/>
      <c r="K17" s="11"/>
      <c r="L17" s="11"/>
      <c r="M17" s="11"/>
    </row>
    <row r="18" spans="1:1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>
      <c r="A21" s="10" t="s">
        <v>266</v>
      </c>
      <c r="B21" s="10"/>
      <c r="C21" s="10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spans="1:13">
      <c r="A22" s="18" t="s">
        <v>264</v>
      </c>
      <c r="B22" s="17">
        <f>COUNTIFS('Результаты опроса'!H:H, "*Ничего не делаю*", 'Результаты опроса'!C:C, "18 – 25 лет") / COUNTIF('Результаты опроса'!H:H, "*Ничего не делаю*")</f>
        <v>0.6428571428571429</v>
      </c>
      <c r="C22" s="55" t="s">
        <v>265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</row>
  </sheetData>
  <mergeCells count="10">
    <mergeCell ref="C17:J17"/>
    <mergeCell ref="C22:M22"/>
    <mergeCell ref="C1:F1"/>
    <mergeCell ref="C2:F2"/>
    <mergeCell ref="C4:F4"/>
    <mergeCell ref="C3:F3"/>
    <mergeCell ref="C11:I11"/>
    <mergeCell ref="C12:I12"/>
    <mergeCell ref="C10:I10"/>
    <mergeCell ref="C16:J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1521-5A98-3249-89AE-3403D5A2B0F6}">
  <dimension ref="A1:F25"/>
  <sheetViews>
    <sheetView topLeftCell="A18" zoomScale="157" workbookViewId="0">
      <selection activeCell="G9" sqref="G9"/>
    </sheetView>
  </sheetViews>
  <sheetFormatPr baseColWidth="10" defaultRowHeight="15"/>
  <cols>
    <col min="2" max="2" width="18.1640625" customWidth="1"/>
    <col min="3" max="3" width="13.6640625" customWidth="1"/>
    <col min="4" max="4" width="12.1640625" customWidth="1"/>
    <col min="5" max="5" width="17.83203125" customWidth="1"/>
  </cols>
  <sheetData>
    <row r="1" spans="1:6">
      <c r="A1" s="20" t="s">
        <v>231</v>
      </c>
      <c r="B1" s="20" t="s">
        <v>232</v>
      </c>
      <c r="C1" s="21" t="s">
        <v>271</v>
      </c>
      <c r="D1" s="21" t="s">
        <v>272</v>
      </c>
      <c r="E1" s="21" t="s">
        <v>273</v>
      </c>
      <c r="F1" s="19"/>
    </row>
    <row r="2" spans="1:6">
      <c r="A2" s="22">
        <v>100</v>
      </c>
      <c r="B2" s="23">
        <f>1 - COUNTIF('Результаты опроса'!L:L, "&lt;=" &amp; A2)/88</f>
        <v>0.73863636363636365</v>
      </c>
      <c r="C2" s="23">
        <f>1 - COUNTIF('Результаты опроса'!M:M, "&lt;=" &amp; A2)/88</f>
        <v>0.96590909090909094</v>
      </c>
      <c r="D2" s="23">
        <f>1 - COUNTIF('Результаты опроса'!N:N, "&gt;=" &amp; A2)/88</f>
        <v>1.1363636363636354E-2</v>
      </c>
      <c r="E2" s="23">
        <f>1 - COUNTIF('Результаты опроса'!O:O, "&gt;=" &amp; A2)/88</f>
        <v>1.1363636363636354E-2</v>
      </c>
      <c r="F2" s="19"/>
    </row>
    <row r="3" spans="1:6">
      <c r="A3" s="22">
        <f>A2+50</f>
        <v>150</v>
      </c>
      <c r="B3" s="23">
        <f>1 - COUNTIF('Результаты опроса'!L:L, "&lt;=" &amp; A3)/88</f>
        <v>0.65909090909090917</v>
      </c>
      <c r="C3" s="23">
        <f>1 - COUNTIF('Результаты опроса'!M:M, "&lt;=" &amp; A3)/88</f>
        <v>0.94318181818181823</v>
      </c>
      <c r="D3" s="23">
        <f>1 - COUNTIF('Результаты опроса'!N:N, "&gt;=" &amp; A3)/88</f>
        <v>1.1363636363636354E-2</v>
      </c>
      <c r="E3" s="23">
        <f>1 - COUNTIF('Результаты опроса'!O:O, "&gt;=" &amp; A3)/88</f>
        <v>1.1363636363636354E-2</v>
      </c>
      <c r="F3" s="19"/>
    </row>
    <row r="4" spans="1:6">
      <c r="A4" s="22">
        <f t="shared" ref="A4:A6" si="0">A3+50</f>
        <v>200</v>
      </c>
      <c r="B4" s="23">
        <f>1 - COUNTIF('Результаты опроса'!L:L, "&lt;=" &amp; A4)/88</f>
        <v>0.31818181818181823</v>
      </c>
      <c r="C4" s="23">
        <f>1 - COUNTIF('Результаты опроса'!M:M, "&lt;=" &amp; A4)/88</f>
        <v>0.79545454545454541</v>
      </c>
      <c r="D4" s="23">
        <f>1 - COUNTIF('Результаты опроса'!N:N, "&gt;=" &amp; A4)/88</f>
        <v>1.1363636363636354E-2</v>
      </c>
      <c r="E4" s="23">
        <f>1 - COUNTIF('Результаты опроса'!O:O, "&gt;=" &amp; A4)/88</f>
        <v>1.1363636363636354E-2</v>
      </c>
      <c r="F4" s="19"/>
    </row>
    <row r="5" spans="1:6">
      <c r="A5" s="22">
        <f t="shared" si="0"/>
        <v>250</v>
      </c>
      <c r="B5" s="23">
        <f>1 - COUNTIF('Результаты опроса'!L:L, "&lt;=" &amp; A5)/88</f>
        <v>0.29545454545454541</v>
      </c>
      <c r="C5" s="23">
        <f>1 - COUNTIF('Результаты опроса'!M:M, "&lt;=" &amp; A5)/88</f>
        <v>0.76136363636363635</v>
      </c>
      <c r="D5" s="23">
        <f>1 - COUNTIF('Результаты опроса'!N:N, "&gt;=" &amp; A5)/88</f>
        <v>4.5454545454545414E-2</v>
      </c>
      <c r="E5" s="23">
        <f>1 - COUNTIF('Результаты опроса'!O:O, "&gt;=" &amp; A5)/88</f>
        <v>1.1363636363636354E-2</v>
      </c>
      <c r="F5" s="19"/>
    </row>
    <row r="6" spans="1:6">
      <c r="A6" s="22">
        <f t="shared" si="0"/>
        <v>300</v>
      </c>
      <c r="B6" s="23">
        <f>1 - COUNTIF('Результаты опроса'!L:L, "&lt;=" &amp; A6)/88</f>
        <v>0.25</v>
      </c>
      <c r="C6" s="23">
        <f>1 - COUNTIF('Результаты опроса'!M:M, "&lt;=" &amp; A6)/88</f>
        <v>0.70454545454545459</v>
      </c>
      <c r="D6" s="23">
        <f>1 - COUNTIF('Результаты опроса'!N:N, "&gt;=" &amp; A6)/88</f>
        <v>4.5454545454545414E-2</v>
      </c>
      <c r="E6" s="23">
        <f>1 - COUNTIF('Результаты опроса'!O:O, "&gt;=" &amp; A6)/88</f>
        <v>2.2727272727272707E-2</v>
      </c>
      <c r="F6" s="19"/>
    </row>
    <row r="7" spans="1:6">
      <c r="A7" s="22">
        <v>331</v>
      </c>
      <c r="B7" s="24">
        <v>0.24</v>
      </c>
      <c r="C7" s="24">
        <v>0.64</v>
      </c>
      <c r="D7" s="24">
        <v>0.24</v>
      </c>
      <c r="E7" s="24">
        <v>0.03</v>
      </c>
      <c r="F7" s="19"/>
    </row>
    <row r="8" spans="1:6">
      <c r="A8" s="22">
        <f>A6+50</f>
        <v>350</v>
      </c>
      <c r="B8" s="23">
        <f>1 - COUNTIF('Результаты опроса'!L:L, "&lt;=" &amp; A8)/88</f>
        <v>0.23863636363636365</v>
      </c>
      <c r="C8" s="23">
        <f>1 - COUNTIF('Результаты опроса'!M:M, "&lt;=" &amp; A8)/88</f>
        <v>0.60227272727272729</v>
      </c>
      <c r="D8" s="23">
        <f>1 - COUNTIF('Результаты опроса'!N:N, "&gt;=" &amp; A8)/88</f>
        <v>0.36363636363636365</v>
      </c>
      <c r="E8" s="23">
        <f>1 - COUNTIF('Результаты опроса'!O:O, "&gt;=" &amp; A8)/88</f>
        <v>4.5454545454545414E-2</v>
      </c>
      <c r="F8" s="19"/>
    </row>
    <row r="9" spans="1:6">
      <c r="A9" s="22">
        <f>A8+50</f>
        <v>400</v>
      </c>
      <c r="B9" s="23">
        <f>1 - COUNTIF('Результаты опроса'!L:L, "&lt;=" &amp; A9)/88</f>
        <v>0.23863636363636365</v>
      </c>
      <c r="C9" s="23">
        <f>1 - COUNTIF('Результаты опроса'!M:M, "&lt;=" &amp; A9)/88</f>
        <v>0.45454545454545459</v>
      </c>
      <c r="D9" s="23">
        <f>1 - COUNTIF('Результаты опроса'!N:N, "&gt;=" &amp; A9)/88</f>
        <v>0.38636363636363635</v>
      </c>
      <c r="E9" s="23">
        <f>1 - COUNTIF('Результаты опроса'!O:O, "&gt;=" &amp; A9)/88</f>
        <v>4.5454545454545414E-2</v>
      </c>
      <c r="F9" s="19"/>
    </row>
    <row r="10" spans="1:6">
      <c r="A10" s="22">
        <v>443</v>
      </c>
      <c r="B10" s="24">
        <v>0.23</v>
      </c>
      <c r="C10" s="24">
        <v>0.41</v>
      </c>
      <c r="D10" s="24">
        <v>0.41</v>
      </c>
      <c r="E10" s="24">
        <v>7.0000000000000007E-2</v>
      </c>
      <c r="F10" s="19"/>
    </row>
    <row r="11" spans="1:6">
      <c r="A11" s="22">
        <f>A9+50</f>
        <v>450</v>
      </c>
      <c r="B11" s="23">
        <f>1 - COUNTIF('Результаты опроса'!L:L, "&lt;=" &amp; A11)/88</f>
        <v>0.22727272727272729</v>
      </c>
      <c r="C11" s="23">
        <f>1 - COUNTIF('Результаты опроса'!M:M, "&lt;=" &amp; A11)/88</f>
        <v>0.40909090909090906</v>
      </c>
      <c r="D11" s="23">
        <f>1 - COUNTIF('Результаты опроса'!N:N, "&gt;=" &amp; A11)/88</f>
        <v>0.42045454545454541</v>
      </c>
      <c r="E11" s="23">
        <f>1 - COUNTIF('Результаты опроса'!O:O, "&gt;=" &amp; A11)/88</f>
        <v>7.9545454545454586E-2</v>
      </c>
      <c r="F11" s="19"/>
    </row>
    <row r="12" spans="1:6">
      <c r="A12" s="22">
        <v>483</v>
      </c>
      <c r="B12" s="24">
        <v>0.08</v>
      </c>
      <c r="C12" s="24">
        <v>0.31</v>
      </c>
      <c r="D12" s="24">
        <v>0.43</v>
      </c>
      <c r="E12" s="24">
        <v>0.08</v>
      </c>
      <c r="F12" s="19"/>
    </row>
    <row r="13" spans="1:6">
      <c r="A13" s="22">
        <f>A11+50</f>
        <v>500</v>
      </c>
      <c r="B13" s="23">
        <f>1 - COUNTIF('Результаты опроса'!L:L, "&lt;=" &amp; A13)/88</f>
        <v>0</v>
      </c>
      <c r="C13" s="23">
        <f>1 - COUNTIF('Результаты опроса'!M:M, "&lt;=" &amp; A13)/88</f>
        <v>0.26136363636363635</v>
      </c>
      <c r="D13" s="23">
        <f>1 - COUNTIF('Результаты опроса'!N:N, "&gt;=" &amp; A13)/88</f>
        <v>0.43181818181818177</v>
      </c>
      <c r="E13" s="23">
        <f>1 - COUNTIF('Результаты опроса'!O:O, "&gt;=" &amp; A13)/88</f>
        <v>7.9545454545454586E-2</v>
      </c>
      <c r="F13" s="19"/>
    </row>
    <row r="14" spans="1:6">
      <c r="A14" s="22">
        <f>A13+50</f>
        <v>550</v>
      </c>
      <c r="B14" s="23">
        <f>1 - COUNTIF('Результаты опроса'!L:L, "&lt;=" &amp; A14)/88</f>
        <v>0</v>
      </c>
      <c r="C14" s="23">
        <f>1 - COUNTIF('Результаты опроса'!M:M, "&lt;=" &amp; A14)/88</f>
        <v>0.26136363636363635</v>
      </c>
      <c r="D14" s="23">
        <f>1 - COUNTIF('Результаты опроса'!N:N, "&gt;=" &amp; A14)/88</f>
        <v>0.55681818181818188</v>
      </c>
      <c r="E14" s="23">
        <f>1 - COUNTIF('Результаты опроса'!O:O, "&gt;=" &amp; A14)/88</f>
        <v>0.125</v>
      </c>
      <c r="F14" s="19"/>
    </row>
    <row r="15" spans="1:6">
      <c r="A15" s="22">
        <f>A14+50</f>
        <v>600</v>
      </c>
      <c r="B15" s="23">
        <f>1 - COUNTIF('Результаты опроса'!L:L, "&lt;=" &amp; A15)/88</f>
        <v>0</v>
      </c>
      <c r="C15" s="23">
        <f>1 - COUNTIF('Результаты опроса'!M:M, "&lt;=" &amp; A15)/88</f>
        <v>0.26136363636363635</v>
      </c>
      <c r="D15" s="23">
        <f>1 - COUNTIF('Результаты опроса'!N:N, "&gt;=" &amp; A15)/88</f>
        <v>0.56818181818181812</v>
      </c>
      <c r="E15" s="23">
        <f>1 - COUNTIF('Результаты опроса'!O:O, "&gt;=" &amp; A15)/88</f>
        <v>0.13636363636363635</v>
      </c>
      <c r="F15" s="19"/>
    </row>
    <row r="16" spans="1:6">
      <c r="A16" s="22">
        <f>A15+50</f>
        <v>650</v>
      </c>
      <c r="B16" s="23">
        <f>1 - COUNTIF('Результаты опроса'!L:L, "&lt;=" &amp; A16)/88</f>
        <v>0</v>
      </c>
      <c r="C16" s="23">
        <f>1 - COUNTIF('Результаты опроса'!M:M, "&lt;=" &amp; A16)/88</f>
        <v>0.26136363636363635</v>
      </c>
      <c r="D16" s="23">
        <f>1 - COUNTIF('Результаты опроса'!N:N, "&gt;=" &amp; A16)/88</f>
        <v>0.68181818181818188</v>
      </c>
      <c r="E16" s="23">
        <f>1 - COUNTIF('Результаты опроса'!O:O, "&gt;=" &amp; A16)/88</f>
        <v>0.18181818181818177</v>
      </c>
      <c r="F16" s="19"/>
    </row>
    <row r="17" spans="1:6">
      <c r="A17" s="22">
        <f>A16+50</f>
        <v>700</v>
      </c>
      <c r="B17" s="23">
        <f>1 - COUNTIF('Результаты опроса'!L:L, "&lt;=" &amp; A17)/88</f>
        <v>0</v>
      </c>
      <c r="C17" s="23">
        <f>1 - COUNTIF('Результаты опроса'!M:M, "&lt;=" &amp; A17)/88</f>
        <v>0.22727272727272729</v>
      </c>
      <c r="D17" s="23">
        <f>1 - COUNTIF('Результаты опроса'!N:N, "&gt;=" &amp; A17)/88</f>
        <v>0.69318181818181812</v>
      </c>
      <c r="E17" s="23">
        <f>1 - COUNTIF('Результаты опроса'!O:O, "&gt;=" &amp; A17)/88</f>
        <v>0.18181818181818177</v>
      </c>
      <c r="F17" s="19"/>
    </row>
    <row r="18" spans="1:6">
      <c r="A18" s="22">
        <v>740</v>
      </c>
      <c r="B18" s="24">
        <v>0</v>
      </c>
      <c r="C18" s="24">
        <v>0.23</v>
      </c>
      <c r="D18" s="24">
        <v>0.71</v>
      </c>
      <c r="E18" s="24">
        <v>0.23</v>
      </c>
      <c r="F18" s="19"/>
    </row>
    <row r="19" spans="1:6">
      <c r="A19" s="22">
        <f>A17+50</f>
        <v>750</v>
      </c>
      <c r="B19" s="23">
        <f>1 - COUNTIF('Результаты опроса'!L:L, "&lt;=" &amp; A19)/88</f>
        <v>0</v>
      </c>
      <c r="C19" s="23">
        <f>1 - COUNTIF('Результаты опроса'!M:M, "&lt;=" &amp; A19)/88</f>
        <v>0.22727272727272729</v>
      </c>
      <c r="D19" s="23">
        <f>1 - COUNTIF('Результаты опроса'!N:N, "&gt;=" &amp; A19)/88</f>
        <v>0.71590909090909083</v>
      </c>
      <c r="E19" s="23">
        <f>1 - COUNTIF('Результаты опроса'!O:O, "&gt;=" &amp; A19)/88</f>
        <v>0.23863636363636365</v>
      </c>
      <c r="F19" s="19"/>
    </row>
    <row r="20" spans="1:6">
      <c r="A20" s="22">
        <f>A19+50</f>
        <v>800</v>
      </c>
      <c r="B20" s="23">
        <f>1 - COUNTIF('Результаты опроса'!L:L, "&lt;=" &amp; A20)/88</f>
        <v>0</v>
      </c>
      <c r="C20" s="23">
        <f>1 - COUNTIF('Результаты опроса'!M:M, "&lt;=" &amp; A20)/88</f>
        <v>0.21590909090909094</v>
      </c>
      <c r="D20" s="23">
        <f>1 - COUNTIF('Результаты опроса'!N:N, "&gt;=" &amp; A20)/88</f>
        <v>0.72727272727272729</v>
      </c>
      <c r="E20" s="23">
        <f>1 - COUNTIF('Результаты опроса'!O:O, "&gt;=" &amp; A20)/88</f>
        <v>0.25</v>
      </c>
      <c r="F20" s="19"/>
    </row>
    <row r="21" spans="1:6">
      <c r="A21" s="22">
        <f>A20+50</f>
        <v>850</v>
      </c>
      <c r="B21" s="23">
        <f>1 - COUNTIF('Результаты опроса'!L:L, "&lt;=" &amp; A21)/88</f>
        <v>0</v>
      </c>
      <c r="C21" s="23">
        <f>1 - COUNTIF('Результаты опроса'!M:M, "&lt;=" &amp; A21)/88</f>
        <v>0.21590909090909094</v>
      </c>
      <c r="D21" s="23">
        <f>1 - COUNTIF('Результаты опроса'!N:N, "&gt;=" &amp; A21)/88</f>
        <v>0.77272727272727271</v>
      </c>
      <c r="E21" s="23">
        <f>1 - COUNTIF('Результаты опроса'!O:O, "&gt;=" &amp; A21)/88</f>
        <v>0.27272727272727271</v>
      </c>
      <c r="F21" s="19"/>
    </row>
    <row r="22" spans="1:6">
      <c r="A22" s="22">
        <f>A21+50</f>
        <v>900</v>
      </c>
      <c r="B22" s="23">
        <f>1 - COUNTIF('Результаты опроса'!L:L, "&lt;=" &amp; A22)/88</f>
        <v>0</v>
      </c>
      <c r="C22" s="23">
        <f>1 - COUNTIF('Результаты опроса'!M:M, "&lt;=" &amp; A22)/88</f>
        <v>0.21590909090909094</v>
      </c>
      <c r="D22" s="23">
        <f>1 - COUNTIF('Результаты опроса'!N:N, "&gt;=" &amp; A22)/88</f>
        <v>0.77272727272727271</v>
      </c>
      <c r="E22" s="23">
        <f>1 - COUNTIF('Результаты опроса'!O:O, "&gt;=" &amp; A22)/88</f>
        <v>0.27272727272727271</v>
      </c>
      <c r="F22" s="19"/>
    </row>
    <row r="23" spans="1:6">
      <c r="A23" s="22">
        <f>A22+50</f>
        <v>950</v>
      </c>
      <c r="B23" s="23">
        <f>1 - COUNTIF('Результаты опроса'!L:L, "&lt;=" &amp; A23)/88</f>
        <v>0</v>
      </c>
      <c r="C23" s="23">
        <f>1 - COUNTIF('Результаты опроса'!M:M, "&lt;=" &amp; A23)/88</f>
        <v>0.21590909090909094</v>
      </c>
      <c r="D23" s="23">
        <f>1 - COUNTIF('Результаты опроса'!N:N, "&gt;=" &amp; A23)/88</f>
        <v>0.78409090909090906</v>
      </c>
      <c r="E23" s="23">
        <f>1 - COUNTIF('Результаты опроса'!O:O, "&gt;=" &amp; A23)/88</f>
        <v>0.27272727272727271</v>
      </c>
      <c r="F23" s="19"/>
    </row>
    <row r="24" spans="1:6">
      <c r="A24" s="22">
        <f>A23+50</f>
        <v>1000</v>
      </c>
      <c r="B24" s="23">
        <f>1 - COUNTIF('Результаты опроса'!L:L, "&lt;=" &amp; A24)/88</f>
        <v>0</v>
      </c>
      <c r="C24" s="23">
        <f>1 - COUNTIF('Результаты опроса'!M:M, "&lt;=" &amp; A24)/88</f>
        <v>1.1363636363636354E-2</v>
      </c>
      <c r="D24" s="23">
        <f>1 - COUNTIF('Результаты опроса'!N:N, "&gt;=" &amp; A24)/88</f>
        <v>0.79545454545454541</v>
      </c>
      <c r="E24" s="23">
        <f>1 - COUNTIF('Результаты опроса'!O:O, "&gt;=" &amp; A24)/88</f>
        <v>0.27272727272727271</v>
      </c>
      <c r="F24" s="19"/>
    </row>
    <row r="25" spans="1:6">
      <c r="A25" s="19"/>
      <c r="B25" s="19"/>
      <c r="C25" s="19"/>
      <c r="D25" s="19"/>
      <c r="E25" s="19"/>
      <c r="F25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Результаты опроса</vt:lpstr>
      <vt:lpstr>Анализ общей выборки (N=88)</vt:lpstr>
      <vt:lpstr>Стратегические выводы</vt:lpstr>
      <vt:lpstr>PSM  Общая выборка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e3588</cp:lastModifiedBy>
  <dcterms:created xsi:type="dcterms:W3CDTF">2026-03-06T16:04:00Z</dcterms:created>
  <dcterms:modified xsi:type="dcterms:W3CDTF">2026-03-09T21:33:00Z</dcterms:modified>
</cp:coreProperties>
</file>